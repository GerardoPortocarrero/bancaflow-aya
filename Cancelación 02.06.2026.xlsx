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yacda.sharepoint.com/sites/ServidorAYA/Documentos compartidos/2026/CANCELACIÓN 2026/"/>
    </mc:Choice>
  </mc:AlternateContent>
  <xr:revisionPtr revIDLastSave="2832" documentId="8_{6FDEB27D-9F29-421D-AD1F-C11935BBC589}" xr6:coauthVersionLast="47" xr6:coauthVersionMax="47" xr10:uidLastSave="{93F9A618-8940-4CB6-BEB1-90AC123A9A89}"/>
  <bookViews>
    <workbookView xWindow="36" yWindow="384" windowWidth="23004" windowHeight="12204" activeTab="3" xr2:uid="{00000000-000D-0000-FFFF-FFFF00000000}"/>
  </bookViews>
  <sheets>
    <sheet name="CUENTAS" sheetId="9" r:id="rId1"/>
    <sheet name="Hoja1" sheetId="12" state="hidden" r:id="rId2"/>
    <sheet name="Hoja2" sheetId="13" state="hidden" r:id="rId3"/>
    <sheet name="CANCELACION" sheetId="1" r:id="rId4"/>
    <sheet name="ACL" sheetId="8" r:id="rId5"/>
    <sheet name="VARIOS" sheetId="5" r:id="rId6"/>
    <sheet name="TRANSF." sheetId="11" r:id="rId7"/>
    <sheet name="CALCULO DETRACC" sheetId="4" r:id="rId8"/>
    <sheet name="REMUNERACIONES " sheetId="10" r:id="rId9"/>
    <sheet name="Hoja3" sheetId="14" r:id="rId10"/>
  </sheets>
  <definedNames>
    <definedName name="_xlnm._FilterDatabase" localSheetId="3" hidden="1">CANCELACION!#REF!</definedName>
    <definedName name="_xlnm._FilterDatabase" localSheetId="0" hidden="1">CUENTAS!$A$65:$E$217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3" i="1" l="1"/>
  <c r="E113" i="1"/>
  <c r="H86" i="1"/>
  <c r="J101" i="1"/>
  <c r="J102" i="1"/>
  <c r="H27" i="1" l="1"/>
  <c r="E27" i="1"/>
  <c r="D171" i="1"/>
  <c r="H71" i="1"/>
  <c r="E41" i="1"/>
  <c r="H41" i="1"/>
  <c r="H54" i="1"/>
  <c r="I27" i="1" l="1"/>
  <c r="K91" i="1" l="1"/>
  <c r="J92" i="1"/>
  <c r="E54" i="1" l="1"/>
  <c r="E71" i="1" l="1"/>
  <c r="H97" i="1" l="1"/>
  <c r="I54" i="1" l="1"/>
  <c r="I41" i="1" l="1"/>
  <c r="I71" i="1" l="1"/>
  <c r="E86" i="1" l="1"/>
  <c r="I86" i="1" l="1"/>
  <c r="E97" i="1" l="1"/>
  <c r="E7" i="1" l="1"/>
  <c r="L33" i="4" l="1"/>
  <c r="L32" i="4"/>
  <c r="J33" i="4"/>
  <c r="M33" i="4" s="1"/>
  <c r="J34" i="4"/>
  <c r="M34" i="4" s="1"/>
  <c r="J32" i="4"/>
  <c r="M32" i="4" s="1"/>
  <c r="K32" i="4" l="1"/>
  <c r="K33" i="4"/>
  <c r="G139" i="1" l="1"/>
  <c r="H139" i="1" s="1"/>
  <c r="F131" i="1" l="1"/>
  <c r="I97" i="1" l="1"/>
  <c r="B32" i="4" l="1"/>
  <c r="E61" i="1" l="1"/>
  <c r="F61" i="1" s="1"/>
  <c r="B38" i="4" l="1"/>
  <c r="B42" i="4"/>
  <c r="D43" i="4" l="1"/>
  <c r="D42" i="4"/>
  <c r="D41" i="4"/>
  <c r="C45" i="4"/>
  <c r="D44" i="4" l="1"/>
  <c r="E45" i="4" s="1"/>
  <c r="G154" i="1" l="1"/>
  <c r="H154" i="1" l="1"/>
  <c r="H146" i="1" l="1"/>
  <c r="D36" i="4" l="1"/>
  <c r="C36" i="4"/>
  <c r="F32" i="4" l="1"/>
  <c r="E31" i="4"/>
  <c r="E32" i="4" s="1"/>
  <c r="D32" i="4" l="1"/>
  <c r="C4" i="4" l="1"/>
  <c r="C3" i="4"/>
  <c r="C31" i="4"/>
  <c r="F42" i="4" l="1"/>
  <c r="P3" i="4" l="1"/>
  <c r="P26" i="4"/>
  <c r="Q26" i="4" s="1"/>
  <c r="P25" i="4"/>
  <c r="Q25" i="4" s="1"/>
  <c r="P24" i="4"/>
  <c r="Q24" i="4" s="1"/>
  <c r="P23" i="4"/>
  <c r="Q23" i="4" s="1"/>
  <c r="P22" i="4"/>
  <c r="Q22" i="4" s="1"/>
  <c r="P21" i="4"/>
  <c r="Q21" i="4" s="1"/>
  <c r="P20" i="4"/>
  <c r="Q20" i="4" s="1"/>
  <c r="P19" i="4"/>
  <c r="Q19" i="4" s="1"/>
  <c r="P18" i="4"/>
  <c r="Q18" i="4" s="1"/>
  <c r="P17" i="4"/>
  <c r="Q17" i="4" s="1"/>
  <c r="P16" i="4"/>
  <c r="Q16" i="4" s="1"/>
  <c r="P15" i="4"/>
  <c r="Q15" i="4" s="1"/>
  <c r="P14" i="4"/>
  <c r="Q14" i="4" s="1"/>
  <c r="P13" i="4"/>
  <c r="Q13" i="4" s="1"/>
  <c r="P12" i="4"/>
  <c r="Q12" i="4" s="1"/>
  <c r="P11" i="4"/>
  <c r="Q11" i="4" s="1"/>
  <c r="P10" i="4"/>
  <c r="Q10" i="4" s="1"/>
  <c r="P9" i="4"/>
  <c r="Q9" i="4" s="1"/>
  <c r="P8" i="4"/>
  <c r="Q8" i="4" s="1"/>
  <c r="P7" i="4"/>
  <c r="Q7" i="4" s="1"/>
  <c r="P6" i="4"/>
  <c r="Q6" i="4" s="1"/>
  <c r="P5" i="4"/>
  <c r="Q5" i="4" s="1"/>
  <c r="P4" i="4"/>
  <c r="Q4" i="4" s="1"/>
  <c r="Q3" i="4" l="1"/>
  <c r="S26" i="4" l="1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S7" i="4"/>
  <c r="R7" i="4"/>
  <c r="S6" i="4"/>
  <c r="R6" i="4"/>
  <c r="S5" i="4"/>
  <c r="R5" i="4"/>
  <c r="S4" i="4"/>
  <c r="R4" i="4"/>
  <c r="S3" i="4"/>
  <c r="R3" i="4"/>
  <c r="C8" i="4" l="1"/>
  <c r="J4" i="4" l="1"/>
  <c r="K4" i="4" s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3" i="4"/>
  <c r="D4" i="4"/>
  <c r="F4" i="4" s="1"/>
  <c r="C5" i="4"/>
  <c r="D5" i="4" s="1"/>
  <c r="F5" i="4" s="1"/>
  <c r="C6" i="4"/>
  <c r="D6" i="4" s="1"/>
  <c r="C7" i="4"/>
  <c r="D7" i="4" s="1"/>
  <c r="E7" i="4" s="1"/>
  <c r="D8" i="4"/>
  <c r="E8" i="4" s="1"/>
  <c r="C9" i="4"/>
  <c r="D9" i="4" s="1"/>
  <c r="E9" i="4" s="1"/>
  <c r="C10" i="4"/>
  <c r="D10" i="4" s="1"/>
  <c r="E10" i="4" s="1"/>
  <c r="C11" i="4"/>
  <c r="D11" i="4" s="1"/>
  <c r="E11" i="4" s="1"/>
  <c r="C12" i="4"/>
  <c r="D12" i="4" s="1"/>
  <c r="E12" i="4" s="1"/>
  <c r="C13" i="4"/>
  <c r="D13" i="4" s="1"/>
  <c r="E13" i="4" s="1"/>
  <c r="C14" i="4"/>
  <c r="D14" i="4" s="1"/>
  <c r="E14" i="4" s="1"/>
  <c r="C15" i="4"/>
  <c r="D15" i="4" s="1"/>
  <c r="E15" i="4" s="1"/>
  <c r="C16" i="4"/>
  <c r="D16" i="4" s="1"/>
  <c r="E16" i="4" s="1"/>
  <c r="C17" i="4"/>
  <c r="D17" i="4" s="1"/>
  <c r="E17" i="4" s="1"/>
  <c r="C18" i="4"/>
  <c r="D18" i="4" s="1"/>
  <c r="E18" i="4" s="1"/>
  <c r="C19" i="4"/>
  <c r="D19" i="4" s="1"/>
  <c r="E19" i="4" s="1"/>
  <c r="C20" i="4"/>
  <c r="D20" i="4" s="1"/>
  <c r="E20" i="4" s="1"/>
  <c r="C21" i="4"/>
  <c r="D21" i="4" s="1"/>
  <c r="E21" i="4" s="1"/>
  <c r="C22" i="4"/>
  <c r="D22" i="4" s="1"/>
  <c r="E22" i="4" s="1"/>
  <c r="C23" i="4"/>
  <c r="D23" i="4" s="1"/>
  <c r="E23" i="4" s="1"/>
  <c r="C24" i="4"/>
  <c r="D24" i="4" s="1"/>
  <c r="E24" i="4" s="1"/>
  <c r="C25" i="4"/>
  <c r="D25" i="4" s="1"/>
  <c r="E25" i="4" s="1"/>
  <c r="C26" i="4"/>
  <c r="D26" i="4" s="1"/>
  <c r="E26" i="4" s="1"/>
  <c r="E6" i="4" l="1"/>
  <c r="F6" i="4"/>
  <c r="E5" i="4"/>
  <c r="E4" i="4"/>
  <c r="F21" i="4"/>
  <c r="F17" i="4"/>
  <c r="F13" i="4"/>
  <c r="F9" i="4"/>
  <c r="F7" i="4"/>
  <c r="F25" i="4"/>
  <c r="F23" i="4"/>
  <c r="F19" i="4"/>
  <c r="F15" i="4"/>
  <c r="F11" i="4"/>
  <c r="F24" i="4"/>
  <c r="F16" i="4"/>
  <c r="F26" i="4"/>
  <c r="F22" i="4"/>
  <c r="F20" i="4"/>
  <c r="F18" i="4"/>
  <c r="F14" i="4"/>
  <c r="F12" i="4"/>
  <c r="F10" i="4"/>
  <c r="F8" i="4"/>
  <c r="K3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D3" i="4"/>
  <c r="F3" i="4" l="1"/>
  <c r="F2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E3" i="4"/>
  <c r="F120" i="1" l="1"/>
</calcChain>
</file>

<file path=xl/sharedStrings.xml><?xml version="1.0" encoding="utf-8"?>
<sst xmlns="http://schemas.openxmlformats.org/spreadsheetml/2006/main" count="832" uniqueCount="488">
  <si>
    <t xml:space="preserve">DATOS </t>
  </si>
  <si>
    <t>PROVEEDOR</t>
  </si>
  <si>
    <t>CORREO</t>
  </si>
  <si>
    <t>CUENTA</t>
  </si>
  <si>
    <t>GRIFO ATICO S.R.L </t>
  </si>
  <si>
    <t>ramirezjack_33@hotmail.com</t>
  </si>
  <si>
    <t>GRIFO PUCCHUN</t>
  </si>
  <si>
    <t>gpucchun@hotmail.com</t>
  </si>
  <si>
    <t>SERVICENTRO MIGUEL GRAU</t>
  </si>
  <si>
    <t>servicentromg@hotmail.com</t>
  </si>
  <si>
    <t xml:space="preserve">ALBERTO HUAYLLA </t>
  </si>
  <si>
    <t>BBVA PEDREGAL       0011-0763-0200026003</t>
  </si>
  <si>
    <t>AGROCAUCHO</t>
  </si>
  <si>
    <t>agrocaucho@hotmail.com</t>
  </si>
  <si>
    <t>CUENTA BBVA CAMANA  0011-0225-0200054451-06</t>
  </si>
  <si>
    <t>CIFUMIGA</t>
  </si>
  <si>
    <t>cifumigaeirl@hotmail.com</t>
  </si>
  <si>
    <t>215-2187589-0-73       BCP</t>
  </si>
  <si>
    <t>DATA PRINTERS S.R.L.</t>
  </si>
  <si>
    <t xml:space="preserve">CUENTA BCP  215-1768853-0-17 </t>
  </si>
  <si>
    <t xml:space="preserve">ZAILA MÓNICA LAURA APAZA </t>
  </si>
  <si>
    <t>Zaila Laura Apaza</t>
  </si>
  <si>
    <t>CTA DE AHORROS BCP 215-38490596-0-85</t>
  </si>
  <si>
    <t>L Y B NEGOCIOS Y REPRESENTACIONES SA</t>
  </si>
  <si>
    <t>BANCO DE CREDITO DEL PERU: 215-0039694-0-65 SOLES</t>
  </si>
  <si>
    <t>BANCO DE CONTINENTAL: 220-0100003852 SOLES</t>
  </si>
  <si>
    <t>FIBER FAST S.A.C</t>
  </si>
  <si>
    <t>Cuenta BCP</t>
  </si>
  <si>
    <t>251-02829313-0-23</t>
  </si>
  <si>
    <t>Banco Continental BBVA:</t>
  </si>
  <si>
    <t>0011-0763-0200146831</t>
  </si>
  <si>
    <t>DV Inversiones Generales S.R.L.</t>
  </si>
  <si>
    <t>BBVA</t>
  </si>
  <si>
    <t>0011-0226-0100025514-89</t>
  </si>
  <si>
    <t>CCI BBVA</t>
  </si>
  <si>
    <t>011-226-000100025514-89</t>
  </si>
  <si>
    <t>BCP</t>
  </si>
  <si>
    <t>215-2386336-0-19</t>
  </si>
  <si>
    <t>CCI BCP</t>
  </si>
  <si>
    <t>002-215-002386336019-26</t>
  </si>
  <si>
    <t>LUZ DE JESUS &amp;MELCH ASOCIADOS SRL</t>
  </si>
  <si>
    <t>250-263-575-1098</t>
  </si>
  <si>
    <t>TRADE SANDDER GROUP SAC</t>
  </si>
  <si>
    <t>215-2026705-0-83</t>
  </si>
  <si>
    <t>SUMINISTROS INKNOVA /CANAZAS NUÑEZ LUZ MARINA</t>
  </si>
  <si>
    <t>215-90387230-0-27</t>
  </si>
  <si>
    <t xml:space="preserve">RADIADORES LUQUE </t>
  </si>
  <si>
    <t>bcp</t>
  </si>
  <si>
    <t xml:space="preserve">215-2221692-0-49 </t>
  </si>
  <si>
    <t>cci 002-21500222169204920</t>
  </si>
  <si>
    <t>UFITEC</t>
  </si>
  <si>
    <t>0011-0144-0100053377</t>
  </si>
  <si>
    <t>COMERCIAL LUCIANO AREQUIPA SAC</t>
  </si>
  <si>
    <t>0011-03490100036868</t>
  </si>
  <si>
    <t>INVERSIONES KEMDIS SAC</t>
  </si>
  <si>
    <t>0011-0130-0100063449</t>
  </si>
  <si>
    <t>ESCUELA DE INVENSTIGACION Y NEGOCIOS DE LIMA SAC</t>
  </si>
  <si>
    <t>0011-0147-01-00046113</t>
  </si>
  <si>
    <t>ZyTrust S.A.</t>
  </si>
  <si>
    <t>191-1813021-0-43</t>
  </si>
  <si>
    <t>VIDA LEY</t>
  </si>
  <si>
    <t xml:space="preserve">PACIFICO </t>
  </si>
  <si>
    <t>CONSORCIO NICK EIRL</t>
  </si>
  <si>
    <t>215-2479890009</t>
  </si>
  <si>
    <t xml:space="preserve">BCP </t>
  </si>
  <si>
    <t xml:space="preserve"> Israel Bedregal C.</t>
  </si>
  <si>
    <t>215-93121682-0-00</t>
  </si>
  <si>
    <t xml:space="preserve">BCP CAMANA  CCI </t>
  </si>
  <si>
    <t>A YA DISTRIBUCIONES</t>
  </si>
  <si>
    <t xml:space="preserve">BCP PEDREGAL CCI </t>
  </si>
  <si>
    <t>REVISTA Pacífico S.A.C.</t>
  </si>
  <si>
    <t>215-1420366-0-47</t>
  </si>
  <si>
    <t>ZAILA POLERAS</t>
  </si>
  <si>
    <t>215-38490596-0-85</t>
  </si>
  <si>
    <t>Soluciones de Información NextSoft S.A.C</t>
  </si>
  <si>
    <t>215-1725155-0-24</t>
  </si>
  <si>
    <t>MAQEQP S.A.C</t>
  </si>
  <si>
    <t>191-2552170-0-94</t>
  </si>
  <si>
    <t>LUIS AVENDAÑO</t>
  </si>
  <si>
    <t xml:space="preserve">PREDACOM </t>
  </si>
  <si>
    <t xml:space="preserve">CAJA MUNICIPAL </t>
  </si>
  <si>
    <t>CAJA MUNICIPAL CCI</t>
  </si>
  <si>
    <t>803-004-110514748405-15</t>
  </si>
  <si>
    <t>LUCIANO</t>
  </si>
  <si>
    <t>2152026705-0-83</t>
  </si>
  <si>
    <t>TAPET EIRL</t>
  </si>
  <si>
    <t>226-0200015516-84</t>
  </si>
  <si>
    <t>DATA PRINTER SRL</t>
  </si>
  <si>
    <t>215-1768853-0-17</t>
  </si>
  <si>
    <t>SUMINISTROS INKNOVA</t>
  </si>
  <si>
    <t>PAPERLESS SAC</t>
  </si>
  <si>
    <t>1932219613032</t>
  </si>
  <si>
    <t>MASIND NIVE</t>
  </si>
  <si>
    <t>00221500247989000928</t>
  </si>
  <si>
    <t xml:space="preserve">AR &amp; JC BUSINESS S.R.L. </t>
  </si>
  <si>
    <t xml:space="preserve">BBVA SOLES </t>
  </si>
  <si>
    <t>0011-0763-0200229931</t>
  </si>
  <si>
    <t>TINCOPA ARMACCANCCE JUAN CARLOS</t>
  </si>
  <si>
    <t xml:space="preserve">BCP SOLES </t>
  </si>
  <si>
    <t>44033265347083</t>
  </si>
  <si>
    <t>SEKUR PERU</t>
  </si>
  <si>
    <t>0011-0184-0100001243</t>
  </si>
  <si>
    <t>CORP. LINDLEY PAGO AYA CÓDIGO</t>
  </si>
  <si>
    <t>POLICLINICO SOMA SALUD SAC</t>
  </si>
  <si>
    <t>215-2039148-0-70</t>
  </si>
  <si>
    <t xml:space="preserve">TRANSPORTES WILLIAM EIRL </t>
  </si>
  <si>
    <t>285-2314847-0-78</t>
  </si>
  <si>
    <t>GONZALES HUAMANI FIDELA HAYDEE</t>
  </si>
  <si>
    <t>250-062497410-00</t>
  </si>
  <si>
    <t>NAVISAF</t>
  </si>
  <si>
    <t>BBVA DOLARES</t>
  </si>
  <si>
    <t>0011-0791-0100006822</t>
  </si>
  <si>
    <t>XEROX</t>
  </si>
  <si>
    <t>0011-0686-0100007100</t>
  </si>
  <si>
    <t>0011-0686-0100014239</t>
  </si>
  <si>
    <t xml:space="preserve">EURO CAMIONES </t>
  </si>
  <si>
    <t>0011-0380-01-00037928</t>
  </si>
  <si>
    <t>0011-0380-01-00037936</t>
  </si>
  <si>
    <t>TIREX PERU S.R.L.</t>
  </si>
  <si>
    <t>0011-0223-0100028681</t>
  </si>
  <si>
    <t>215-1156202-0-24</t>
  </si>
  <si>
    <t xml:space="preserve">POLICLINICO EL PACIFICO CAMANA SRL        </t>
  </si>
  <si>
    <t>0011-0225-0200181380-03</t>
  </si>
  <si>
    <t xml:space="preserve">SERVICIOS POWER DIESEL EIRL </t>
  </si>
  <si>
    <t>215-1552056-0-49</t>
  </si>
  <si>
    <t>MASA EQUIPOS INDUSTRIALES S.A.</t>
  </si>
  <si>
    <t>191-9042945-0-76</t>
  </si>
  <si>
    <t>CAPACITACION Y PUBLICACIONES PACIFICO SAC</t>
  </si>
  <si>
    <t>215-0039694-0-65 SOLES</t>
  </si>
  <si>
    <t>220-0100003852 SOLES</t>
  </si>
  <si>
    <t>CCH SOLUCIONES LOGISTICAS S.A.C.</t>
  </si>
  <si>
    <t>0011-0110-0100034601</t>
  </si>
  <si>
    <t>SOLUCIONES DE INFORMACION NEXTSOFT</t>
  </si>
  <si>
    <t>J.P. INGENIERIA Y SERVICIOS S.R.L.</t>
  </si>
  <si>
    <t>0011-0764-01-00016693</t>
  </si>
  <si>
    <t xml:space="preserve">MAURO GONZALES CCAMA </t>
  </si>
  <si>
    <t>215-19151173-0-15</t>
  </si>
  <si>
    <t>TECNOIND DEL SUR SRL</t>
  </si>
  <si>
    <t xml:space="preserve">SCOTIABANK </t>
  </si>
  <si>
    <t>CCI 009-405-207047877209-29</t>
  </si>
  <si>
    <t>ROSA ISABEL SIMON NAVARRO</t>
  </si>
  <si>
    <t>440-26415442-0-87</t>
  </si>
  <si>
    <t>PREDACOM SAC</t>
  </si>
  <si>
    <t xml:space="preserve">Caja Municipal de Arequipa </t>
  </si>
  <si>
    <t>CCI: 803-004-110514748405-15</t>
  </si>
  <si>
    <t>G4S</t>
  </si>
  <si>
    <t>0011-0384-0100000856-53</t>
  </si>
  <si>
    <t xml:space="preserve">INVERSIONES SEGAMI </t>
  </si>
  <si>
    <t>251-9400493-0-26</t>
  </si>
  <si>
    <t>POLICLINICO JUAN PABLO ELIAS SCRL</t>
  </si>
  <si>
    <t>440-32242186-0-87</t>
  </si>
  <si>
    <t>CREZE ASESORIA CAPACITACIÓN Y TRAMITES E.I.R.L.</t>
  </si>
  <si>
    <t>191-98989258-0-46</t>
  </si>
  <si>
    <t xml:space="preserve">DAKOTA SOLUCIONES SAC </t>
  </si>
  <si>
    <t>193-1494856-0-53</t>
  </si>
  <si>
    <t> ZETA CARMEN MARIA ELIZABETH</t>
  </si>
  <si>
    <t>194-33314794-0-05</t>
  </si>
  <si>
    <t>MAMANI MEDINA FRANK REINALDO</t>
  </si>
  <si>
    <t>250-91355460-0-72</t>
  </si>
  <si>
    <t>VERISUR PERU SAC</t>
  </si>
  <si>
    <t>193-2052540-0-26</t>
  </si>
  <si>
    <t>BCP DOLARES</t>
  </si>
  <si>
    <t>CCI: 002 193 002219172188 19</t>
  </si>
  <si>
    <t>SERPODI EIRL</t>
  </si>
  <si>
    <t>JACHE IMPORTS E.I.R.L.</t>
  </si>
  <si>
    <t>42573647439059</t>
  </si>
  <si>
    <t>CREATIVE STORE S.A.C.</t>
  </si>
  <si>
    <t>191-9293936-0-38</t>
  </si>
  <si>
    <t>GONZALOS PUBLICIDAD SERVICIOS GENERALES EIRL</t>
  </si>
  <si>
    <t>011-0220-0201850025</t>
  </si>
  <si>
    <t>HECTOR ADOLFO BENAVIDES TORRES</t>
  </si>
  <si>
    <t xml:space="preserve">BBVA SOLES SUELDO </t>
  </si>
  <si>
    <t>0011-0908-0200034011</t>
  </si>
  <si>
    <t>GORBEÑA CORICAZA MIJAEL HAMBIRT</t>
  </si>
  <si>
    <t>0011-0222-0200667279</t>
  </si>
  <si>
    <t>ECOSISTEMAS &amp; MIKAELA E.I.R.L.</t>
  </si>
  <si>
    <t>191-8738562001</t>
  </si>
  <si>
    <t>BBVA SOLES</t>
  </si>
  <si>
    <t>0011-0174-0100065131</t>
  </si>
  <si>
    <t>SERVICIOS POWER DIESEL</t>
  </si>
  <si>
    <t>215-1552056- 0-49</t>
  </si>
  <si>
    <t>JL SERVICIOS PERU S.A.C</t>
  </si>
  <si>
    <t>191-1157961-0-74</t>
  </si>
  <si>
    <t>L Y B NEGOCIOS Y REPRESENTACIONES SAC</t>
  </si>
  <si>
    <t>215-0039694-0-65</t>
  </si>
  <si>
    <t>CLINICAR AUTOMOTRIZ E.I.R.L</t>
  </si>
  <si>
    <t>0011-0225-0100018377</t>
  </si>
  <si>
    <t>COLEGIO DE CONTADORES PUBLICOS DE AREQUIPA</t>
  </si>
  <si>
    <t>215-71176587-0-37</t>
  </si>
  <si>
    <t>0011-0717-0200539255</t>
  </si>
  <si>
    <t>INDUSTRIAS MANRIQUE S.A.C.</t>
  </si>
  <si>
    <t>0011-0349-0100027540</t>
  </si>
  <si>
    <t>MONTEJO MULLISACA JOCELYN BRIGITTE</t>
  </si>
  <si>
    <t>191-99734083-0-95</t>
  </si>
  <si>
    <t>GROUPJL CONSTRUCCIONES Y SERVICIOS GENERALES E.I.R.L.</t>
  </si>
  <si>
    <t>0011-0763-0200235338</t>
  </si>
  <si>
    <t>ALVA MALPARTIDA OSCAR HERNAN</t>
  </si>
  <si>
    <t>251-92130859-0-05</t>
  </si>
  <si>
    <t xml:space="preserve">JOEL GARATE </t>
  </si>
  <si>
    <t>251-01748125-0-14</t>
  </si>
  <si>
    <t>DANIEL CATERING</t>
  </si>
  <si>
    <t>251-97748453-0-41</t>
  </si>
  <si>
    <t>MACHACA QUISPE DAVID JHULINHO</t>
  </si>
  <si>
    <t>0011-0814-0267039491</t>
  </si>
  <si>
    <t>NUCLEO CAPITAL S.R.L.</t>
  </si>
  <si>
    <t>215-7079270-0-93</t>
  </si>
  <si>
    <t>DESAF PROYECTOS E INGENERIA EIRL</t>
  </si>
  <si>
    <t xml:space="preserve">CAJA AQP </t>
  </si>
  <si>
    <t>004-781984021-0000-100-3</t>
  </si>
  <si>
    <t>n° cuenta falta cci</t>
  </si>
  <si>
    <t>MANTENIMIENTO MARTINEZ LA SOLUCION EN SERVICIOS GENERALES S.A.C</t>
  </si>
  <si>
    <t xml:space="preserve">0011-0717-010013329-66 </t>
  </si>
  <si>
    <t xml:space="preserve">MANSILLA FRISANCHO EDWARD KENNEDY </t>
  </si>
  <si>
    <t>251-01873697-0-54</t>
  </si>
  <si>
    <t xml:space="preserve">KARINA BARRIOS LUQUE </t>
  </si>
  <si>
    <t xml:space="preserve">BCP SPOLES </t>
  </si>
  <si>
    <t>215-01049621-0-19</t>
  </si>
  <si>
    <t>VICTOR GABRIEL FLORES MAMANI</t>
  </si>
  <si>
    <t>251-90151825-0-81</t>
  </si>
  <si>
    <t>OCSA LOPEZ ALEX RYZARD</t>
  </si>
  <si>
    <t>0011-0763-0200148826</t>
  </si>
  <si>
    <t>THEN E.I.R.L.</t>
  </si>
  <si>
    <t>CCI CAJA AQP</t>
  </si>
  <si>
    <t>803-01200432351900-144</t>
  </si>
  <si>
    <t>SURTIHOGAR</t>
  </si>
  <si>
    <t>251-9934041-0-00</t>
  </si>
  <si>
    <t>YUCRA SOTO ROBIN WILFREDO</t>
  </si>
  <si>
    <t>0011-0763-0200044524</t>
  </si>
  <si>
    <t>SAFETY FIRTS GROUP S.A.C</t>
  </si>
  <si>
    <t>0011-0142-020113-0894</t>
  </si>
  <si>
    <t>ABUGATTAS &amp; PERALTA Internacional SAC</t>
  </si>
  <si>
    <t>0011-0910-0100004698</t>
  </si>
  <si>
    <t>BLINDADO SECURITY S.A.C.</t>
  </si>
  <si>
    <t>194-9402936-0-49</t>
  </si>
  <si>
    <t>GESTION Y CONTROL AMBIENTAL S.A.C.</t>
  </si>
  <si>
    <t>PRODUCTIVE BUSINESS SOLUTIONS GROUP SAC</t>
  </si>
  <si>
    <t>0011-0686-01 00014239</t>
  </si>
  <si>
    <t>DISTRIBUCIONES NEGOCIOS CON FE E.I.R.L.</t>
  </si>
  <si>
    <t>251-7104693-0-27</t>
  </si>
  <si>
    <t>INGENIERIA DE PLANIFICACION COMERCIAL S.A.C.</t>
  </si>
  <si>
    <t>194-9399139-0-95</t>
  </si>
  <si>
    <t>0011-0135-0100060285</t>
  </si>
  <si>
    <t>INGENIERIA MAXIMA E.I.R.L.</t>
  </si>
  <si>
    <t>0011-0119-0100052978</t>
  </si>
  <si>
    <t>CORPORACION GARETH EIRL</t>
  </si>
  <si>
    <t>0011-0175-0100070394</t>
  </si>
  <si>
    <t xml:space="preserve">CCI BCP DOLARES  </t>
  </si>
  <si>
    <t>219-3002219172180-0-0</t>
  </si>
  <si>
    <t>TIREX PERU SRL</t>
  </si>
  <si>
    <t>SOLUCIONES DE FLOTA PERUANA SAC</t>
  </si>
  <si>
    <t>0011-0317-0200744148</t>
  </si>
  <si>
    <t>PACIFICO AREQUIPA S.A.C.</t>
  </si>
  <si>
    <t>215-2082867-0-75</t>
  </si>
  <si>
    <t>ACISCLO HUAMAN CONDORI</t>
  </si>
  <si>
    <t>251-01284697-0-05</t>
  </si>
  <si>
    <t>NOVO COLORS SAC.</t>
  </si>
  <si>
    <t>215-93495011-0-00</t>
  </si>
  <si>
    <t>OJEDA TRUJILLO MARTIN GUILLERMO</t>
  </si>
  <si>
    <t>191-05099338-0-45</t>
  </si>
  <si>
    <t>DIESEL KAT E.I.R.L.</t>
  </si>
  <si>
    <t>215-2396372-0-93</t>
  </si>
  <si>
    <t>PUMA DE LA TORRE EXTINTORES</t>
  </si>
  <si>
    <t>215-1562951-0-99</t>
  </si>
  <si>
    <t>YAÑEZ VILCA AUDELA BEATRIZ</t>
  </si>
  <si>
    <t>250-38597101-0-01</t>
  </si>
  <si>
    <t>LIMASCCA MUÑOZ VALERIA</t>
  </si>
  <si>
    <t>250-29806149-0-51</t>
  </si>
  <si>
    <t>DATA PRINTERS SRL</t>
  </si>
  <si>
    <t>215-17688530-1-72</t>
  </si>
  <si>
    <t xml:space="preserve">MUNICIPALIDAD DISTRITAL DE MAJES </t>
  </si>
  <si>
    <t xml:space="preserve">BANCO NACION </t>
  </si>
  <si>
    <t>0181-0100-0101-1504-4561</t>
  </si>
  <si>
    <t>DISTRIBUIDORA FJJ S.A.C</t>
  </si>
  <si>
    <t>0011-0189-0100059109</t>
  </si>
  <si>
    <t>251-94025343-0-25</t>
  </si>
  <si>
    <t>0011-0814-0271296040</t>
  </si>
  <si>
    <t>DROAL INC. SAC</t>
  </si>
  <si>
    <t>194-2222177-0- 31 </t>
  </si>
  <si>
    <t>QUILLUYA GALARZA EDWIN</t>
  </si>
  <si>
    <t>251-73087579-0-68</t>
  </si>
  <si>
    <t xml:space="preserve">ZAMATA VICTOR </t>
  </si>
  <si>
    <t>SULLCA MAQUE SAUL CONSTANTINO</t>
  </si>
  <si>
    <t>251-94385325-0-43</t>
  </si>
  <si>
    <t>002-19300221917218819</t>
  </si>
  <si>
    <t>CCI</t>
  </si>
  <si>
    <t>SANCHEZ RIVERA GRACIELA VIOLETA</t>
  </si>
  <si>
    <t>YAURI MAYORGA LESLY PAMELA</t>
  </si>
  <si>
    <t>MARCE ARIZACA JAVIER</t>
  </si>
  <si>
    <t>251-02529898-08-3</t>
  </si>
  <si>
    <t>GRIFO AEROPUERTO 610 SAC</t>
  </si>
  <si>
    <t>215-2460729-0-63</t>
  </si>
  <si>
    <t>RUC: 20311644786</t>
  </si>
  <si>
    <t>RED DE COMBUSTIBLES LIQUIDOS SAC</t>
  </si>
  <si>
    <t>194-1402364-0-92</t>
  </si>
  <si>
    <t>LATINOAMERICANA EIR LTDA</t>
  </si>
  <si>
    <t>215-2673689-0-74</t>
  </si>
  <si>
    <t>BENAVIDES TORRES HECTOR ADOLFO</t>
  </si>
  <si>
    <t>GITOCA SRL</t>
  </si>
  <si>
    <t>0011-0764-0100013317</t>
  </si>
  <si>
    <t>SUR MOTORS</t>
  </si>
  <si>
    <t>0011-0220-01-00025473</t>
  </si>
  <si>
    <t>0011-0220-01-00000179</t>
  </si>
  <si>
    <t xml:space="preserve">AC CORPORATIVO DEL PERU SAC </t>
  </si>
  <si>
    <t>INTERBANK</t>
  </si>
  <si>
    <t>200-3004571108</t>
  </si>
  <si>
    <t>0011-0910-0100013174</t>
  </si>
  <si>
    <t xml:space="preserve">PREDACOM SAC </t>
  </si>
  <si>
    <t>CAJA AQP CCI</t>
  </si>
  <si>
    <t>DISTRIBUCIONES Y SERVICIOS LUMAJO E.I.R.L</t>
  </si>
  <si>
    <t>0011-0225-0100020525</t>
  </si>
  <si>
    <t>CAJAS DE CARTON PANAMUNDO PACKING S.A.C.</t>
  </si>
  <si>
    <t>194-6484605-0-58</t>
  </si>
  <si>
    <t>LLERENA AGUILAR ANDRES EFRAIN</t>
  </si>
  <si>
    <t>250-93460852-0-31</t>
  </si>
  <si>
    <t>FECHA</t>
  </si>
  <si>
    <t xml:space="preserve">BANCO </t>
  </si>
  <si>
    <t>NUMERO DE OPERACIÓN</t>
  </si>
  <si>
    <t xml:space="preserve">MONTO </t>
  </si>
  <si>
    <t>Total Abono</t>
  </si>
  <si>
    <t>FACTURA</t>
  </si>
  <si>
    <t xml:space="preserve"> FECHA</t>
  </si>
  <si>
    <t>MONTO FACTURA</t>
  </si>
  <si>
    <t xml:space="preserve">DEPÓSITOS PARA LA CANCELACIÓN NOTA DEBITO AC LINDLEY </t>
  </si>
  <si>
    <t>MONTO</t>
  </si>
  <si>
    <t>NOTA DEBITO</t>
  </si>
  <si>
    <t>IMPORTE</t>
  </si>
  <si>
    <t xml:space="preserve"> REGULARIZACION  AC LOGISTICA DEL PERU SAC </t>
  </si>
  <si>
    <t xml:space="preserve"> CANCELACIÓN DE FACTURAS ECOBESA</t>
  </si>
  <si>
    <t xml:space="preserve"> CANCELACIÓN DE FACTURAS AC LOGISTICA DEL PERÚ S.A.C. </t>
  </si>
  <si>
    <t>DEPOSITOS PARA PAGO DE PROVEEDORES</t>
  </si>
  <si>
    <t>MONTO PAGADO</t>
  </si>
  <si>
    <t xml:space="preserve">IMPORTE </t>
  </si>
  <si>
    <t xml:space="preserve">FACTURA </t>
  </si>
  <si>
    <t>PAGO AFP</t>
  </si>
  <si>
    <t xml:space="preserve">PAGO LIQUIDACIONES </t>
  </si>
  <si>
    <t>APELLIDOS Y NOMBRES</t>
  </si>
  <si>
    <t>BANCO</t>
  </si>
  <si>
    <t xml:space="preserve">NUMERO DE OPERACIÓN </t>
  </si>
  <si>
    <t>TRANSFERENCIAS</t>
  </si>
  <si>
    <t xml:space="preserve">BANCO  ORIGEN </t>
  </si>
  <si>
    <t xml:space="preserve">BANCO DESTINO </t>
  </si>
  <si>
    <t>TRANSFERENCIAS SCOTIABANK</t>
  </si>
  <si>
    <t xml:space="preserve">DETRACCIONES </t>
  </si>
  <si>
    <t xml:space="preserve">SERIE </t>
  </si>
  <si>
    <t xml:space="preserve">NUMERO </t>
  </si>
  <si>
    <t>AC LOGISTICA</t>
  </si>
  <si>
    <t>SCOTAIBANK</t>
  </si>
  <si>
    <t>CAJA AQP</t>
  </si>
  <si>
    <t>TOTAL A PAGAR</t>
  </si>
  <si>
    <t>DETRACC.</t>
  </si>
  <si>
    <t xml:space="preserve">BBVA </t>
  </si>
  <si>
    <t>THEN - INTERNET</t>
  </si>
  <si>
    <t>251-7206999-0-20</t>
  </si>
  <si>
    <t>0011-0150-0100081012</t>
  </si>
  <si>
    <t>ROSI SERVICIOS GENERALES E.I.R.L</t>
  </si>
  <si>
    <t>194-59580480-01</t>
  </si>
  <si>
    <t xml:space="preserve">JESUS GUTIERREZ QUINTA </t>
  </si>
  <si>
    <t>898-3469959416</t>
  </si>
  <si>
    <t>003-898-013469959416-41</t>
  </si>
  <si>
    <t>215-03770777-0-61</t>
  </si>
  <si>
    <t>SOLEDAD GUEVARA</t>
  </si>
  <si>
    <t>INNOVACIÓN CORPORATIVA 21 S.A.C.</t>
  </si>
  <si>
    <t>0011-0145-0100056622</t>
  </si>
  <si>
    <t>251-39426079-0-53</t>
  </si>
  <si>
    <t>EMERGENCY SURVIVAL S.A.C.</t>
  </si>
  <si>
    <t xml:space="preserve">193-9886859-0-59 </t>
  </si>
  <si>
    <t>CARLOS GUSTAVO MEJIA SOLANO</t>
  </si>
  <si>
    <t xml:space="preserve">CAM INGENIEROS &amp; CONSULTORES SAC </t>
  </si>
  <si>
    <t>FERRETERÍA &amp; DISTRIBUCIONES LUMAJO</t>
  </si>
  <si>
    <t>250-30493187-0-29</t>
  </si>
  <si>
    <t xml:space="preserve">Kimberly Ashly Quispe Salinas </t>
  </si>
  <si>
    <t xml:space="preserve">215-95624237-0-33 </t>
  </si>
  <si>
    <t xml:space="preserve">REPRESENTACIONES TFBM SAC </t>
  </si>
  <si>
    <t>803-064-003775644001-54</t>
  </si>
  <si>
    <t>Inversiones Megaroll SAC</t>
  </si>
  <si>
    <t>193-2370551-0-58</t>
  </si>
  <si>
    <t>ROSA JULISA ALVAREZ MUÑOZ</t>
  </si>
  <si>
    <t>BCCP SOLES</t>
  </si>
  <si>
    <t>251-23481773-0-94</t>
  </si>
  <si>
    <t>VICTOR ZAMATA GARCIA</t>
  </si>
  <si>
    <t>MIGUEL ARCE</t>
  </si>
  <si>
    <t>251-02068226-0-49</t>
  </si>
  <si>
    <t>COMPAÑIA INDUSTRIAL DE CARROCERIAS S.A.C</t>
  </si>
  <si>
    <t>0011-0338-1902003645-79</t>
  </si>
  <si>
    <t>0011-0166-0100054888</t>
  </si>
  <si>
    <t>SOLUCIONES CAT EIRL</t>
  </si>
  <si>
    <t>0011-0223-0100039160</t>
  </si>
  <si>
    <t>LDDF GROUP EIRL</t>
  </si>
  <si>
    <t>0011-0763-0200181181</t>
  </si>
  <si>
    <t>FRE WAGENMOTORS SRL</t>
  </si>
  <si>
    <t>215-10611524-0-07</t>
  </si>
  <si>
    <t>APAZA LIPA BERNABE</t>
  </si>
  <si>
    <t>215-7382855-0-85</t>
  </si>
  <si>
    <t>TRANSFERENCIA FONDO FIJO</t>
  </si>
  <si>
    <t>0011-0057-0203110643</t>
  </si>
  <si>
    <t>HUANCA CHOQUEHUANCA RONAL UVER</t>
  </si>
  <si>
    <t>VALDIVIA SOSA EDWARD ALEJANDRO</t>
  </si>
  <si>
    <t>215-01628314-0-57</t>
  </si>
  <si>
    <t xml:space="preserve">STEYSI HUAYLLAZO </t>
  </si>
  <si>
    <t>215-90726573-0-97</t>
  </si>
  <si>
    <t xml:space="preserve">RICHARD TORRES ANDIA </t>
  </si>
  <si>
    <t>0011-0763-0200228293</t>
  </si>
  <si>
    <t>SURCO SANCA UBALDO</t>
  </si>
  <si>
    <t>0011-0763-0200177249</t>
  </si>
  <si>
    <t>VILLASANTE SAAVEDRA NINJA</t>
  </si>
  <si>
    <t>250-72744207-0-27</t>
  </si>
  <si>
    <t>Representaciones Herrera Nuñez NJ</t>
  </si>
  <si>
    <t>215-7232935-0-64</t>
  </si>
  <si>
    <t>J &amp; L GAS DEL SUR EIRL</t>
  </si>
  <si>
    <t>250-7322633-0-40</t>
  </si>
  <si>
    <t>FERNANDEZ CRUZ CARLOS MARTIN</t>
  </si>
  <si>
    <t>250-71099268-0-72</t>
  </si>
  <si>
    <t>ARCA CONTINENTAL LINDLEY</t>
  </si>
  <si>
    <t>008-0000011979</t>
  </si>
  <si>
    <t>SARMIENTO TICONA IMANOL ALEXANDER</t>
  </si>
  <si>
    <t>0011-0814-0287094251</t>
  </si>
  <si>
    <t>DAVID JHULINHO MACHACA</t>
  </si>
  <si>
    <t>IMPORTACIONES VESY SAC</t>
  </si>
  <si>
    <t>251-2481917-0-19</t>
  </si>
  <si>
    <t>ARCE CALCINA MIGUEL</t>
  </si>
  <si>
    <t>TORRES QUINTA YRVING GABRIEL</t>
  </si>
  <si>
    <t>251-94243661-0-12</t>
  </si>
  <si>
    <t>0011-0225-0200181380</t>
  </si>
  <si>
    <t>CORPORATIVO</t>
  </si>
  <si>
    <t>HEMISFERIO INVERSIONES SAC</t>
  </si>
  <si>
    <t>0011-0369-0100015304</t>
  </si>
  <si>
    <t>0011-0369-0100015290</t>
  </si>
  <si>
    <t>DEPÓSITOS PARA LA CANCELACIÓN DE FACTURAS DE CHALA  03.02.2026</t>
  </si>
  <si>
    <t>INVERSIONES GONZDI E.I.R.L</t>
  </si>
  <si>
    <t>0011-0763-0200205366</t>
  </si>
  <si>
    <t>VIGILANCIA Y PREVENCION OCUPACIONAL S.A.C.</t>
  </si>
  <si>
    <t>215-7119786-0-45</t>
  </si>
  <si>
    <t>0011-0764-0100025552</t>
  </si>
  <si>
    <t>RECTIFICACIONES DE MOTORES NOVA S.A.C</t>
  </si>
  <si>
    <t xml:space="preserve">215-1617756-0-85 </t>
  </si>
  <si>
    <t>DEPOSITOS PARA LA CANCELACION DE FACTURAS F579 AC LINDLEY</t>
  </si>
  <si>
    <t>DEPOSITOS PARA LA CANCELACION DE FACTURAS ATICO AC LINDLEY</t>
  </si>
  <si>
    <t xml:space="preserve"> CANCELACIÓN DE FACTURAS AC CORPORATIVO DEL PERÚ S.A.C. </t>
  </si>
  <si>
    <t>MANGO MAMANI ALFONSO</t>
  </si>
  <si>
    <t>251-70897662-0-30</t>
  </si>
  <si>
    <t>DE LA CRUZ HUAMAN JOSE LUIS</t>
  </si>
  <si>
    <t>440-78476260-0-71</t>
  </si>
  <si>
    <t>JOSE ANTONIO ANGULO DELGADO EIRL</t>
  </si>
  <si>
    <t>0011-0159-0200013064</t>
  </si>
  <si>
    <t>215-1617756-0-85</t>
  </si>
  <si>
    <t xml:space="preserve">RECTIFICACIONES DE MOTORES NOVA </t>
  </si>
  <si>
    <t>LDDF GROUP E.I.R.L</t>
  </si>
  <si>
    <t>0011 - 0763 - 0200181181</t>
  </si>
  <si>
    <t>VERA DURAND ANA CECILIA</t>
  </si>
  <si>
    <t>495-90077902-0-57</t>
  </si>
  <si>
    <t xml:space="preserve">ZEGARRA MARQUEZ SEHIRA VIVIANA </t>
  </si>
  <si>
    <t>CTA SIMPLE: 550-3145784318</t>
  </si>
  <si>
    <t>CALCINA CAHUANA ANTHONY ROMEO</t>
  </si>
  <si>
    <t>0011-0814-0286431572</t>
  </si>
  <si>
    <t>25005301273052</t>
  </si>
  <si>
    <t>MAQUIAUTOS PERU E.I.R.L</t>
  </si>
  <si>
    <t>E001-20</t>
  </si>
  <si>
    <t>E001-15</t>
  </si>
  <si>
    <t>E001-19</t>
  </si>
  <si>
    <t>E001-14</t>
  </si>
  <si>
    <t>E001-18</t>
  </si>
  <si>
    <t>BLINSEGUR SAC</t>
  </si>
  <si>
    <t>F001-4761</t>
  </si>
  <si>
    <t>BCP  215-7384998-0-53 </t>
  </si>
  <si>
    <t>E001-567</t>
  </si>
  <si>
    <t>E001-566</t>
  </si>
  <si>
    <t>E001-565</t>
  </si>
  <si>
    <t>E001-564</t>
  </si>
  <si>
    <t>F001-3860</t>
  </si>
  <si>
    <t>F001-3861</t>
  </si>
  <si>
    <t>DAVILA OCHOA JUAN ESTEBAN</t>
  </si>
  <si>
    <t>F100-40209</t>
  </si>
  <si>
    <t>31/05/2026</t>
  </si>
  <si>
    <t>F100-40208</t>
  </si>
  <si>
    <t>F100-40207</t>
  </si>
  <si>
    <t>F100-40156</t>
  </si>
  <si>
    <t>F101-10656</t>
  </si>
  <si>
    <t>F101-10646</t>
  </si>
  <si>
    <t>F101-10645</t>
  </si>
  <si>
    <t>F101-10638</t>
  </si>
  <si>
    <t>F101-10741</t>
  </si>
  <si>
    <t>30/05/2026</t>
  </si>
  <si>
    <t>BBVA CAMANA</t>
  </si>
  <si>
    <t xml:space="preserve">	000055816</t>
  </si>
  <si>
    <t xml:space="preserve">	000055819</t>
  </si>
  <si>
    <t xml:space="preserve">
89453639</t>
  </si>
  <si>
    <t>bcp yape</t>
  </si>
  <si>
    <t xml:space="preserve">	108,494-0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</si>
</sst>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S/&quot;* #,##0.00_ ;_ &quot;S/&quot;* \-#,##0.00_ ;_ &quot;S/&quot;* &quot;-&quot;??_ ;_ @_ "/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_(* #,##0_);_(* \(#,##0\);_(* &quot;-&quot;??_);_(@_)"/>
    <numFmt numFmtId="167" formatCode="_ [$S/-280A]\ * #,##0.00_ ;_ [$S/-280A]\ * \-#,##0.00_ ;_ [$S/-280A]\ * &quot;-&quot;??_ ;_ @_ "/>
    <numFmt numFmtId="168" formatCode="_ &quot;S/.&quot;* #,##0.00_ ;_ &quot;S/.&quot;* \-#,##0.00_ ;_ &quot;S/.&quot;* &quot;-&quot;??_ ;_ @_ "/>
    <numFmt numFmtId="169" formatCode="_(* #,##0.000_);_(* \(#,##0.000\);_(* &quot;-&quot;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202E44"/>
      <name val="Calibri"/>
      <family val="2"/>
      <scheme val="minor"/>
    </font>
    <font>
      <sz val="14"/>
      <color rgb="FF202E44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Draft 10cpi"/>
      <family val="3"/>
    </font>
    <font>
      <sz val="11"/>
      <color theme="1"/>
      <name val="Lucida Console"/>
      <family val="3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555555"/>
      <name val="Arial"/>
      <family val="2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202E44"/>
      <name val="Arial"/>
      <family val="2"/>
    </font>
    <font>
      <sz val="7"/>
      <color rgb="FF71777F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sz val="8"/>
      <color rgb="FF0F191E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rgb="FFFFFFFF"/>
      <name val="Calibri"/>
      <family val="2"/>
      <scheme val="minor"/>
    </font>
    <font>
      <sz val="7"/>
      <color rgb="FFFFFFFF"/>
      <name val="Arial"/>
      <family val="2"/>
    </font>
    <font>
      <sz val="8"/>
      <color rgb="FFFFFFFF"/>
      <name val="Arial"/>
      <family val="2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BB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DFF5D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E987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EDD23"/>
        <bgColor indexed="64"/>
      </patternFill>
    </fill>
    <fill>
      <patternFill patternType="solid">
        <fgColor rgb="FFB3C5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E36D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A3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8FC7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CCA7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DED7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DBB7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7FFAB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5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rgb="FFDCDCD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06">
    <xf numFmtId="0" fontId="0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" fontId="17" fillId="0" borderId="0"/>
    <xf numFmtId="43" fontId="1" fillId="0" borderId="0" applyFont="0" applyFill="0" applyBorder="0" applyAlignment="0" applyProtection="0"/>
    <xf numFmtId="0" fontId="18" fillId="0" borderId="0"/>
    <xf numFmtId="0" fontId="1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694">
    <xf numFmtId="0" fontId="0" fillId="0" borderId="0" xfId="0"/>
    <xf numFmtId="165" fontId="12" fillId="0" borderId="0" xfId="1" applyFont="1" applyFill="1" applyBorder="1" applyAlignment="1"/>
    <xf numFmtId="165" fontId="2" fillId="0" borderId="0" xfId="1" applyFont="1" applyFill="1" applyBorder="1" applyAlignment="1">
      <alignment horizontal="center"/>
    </xf>
    <xf numFmtId="165" fontId="0" fillId="0" borderId="0" xfId="1" applyFont="1" applyFill="1"/>
    <xf numFmtId="165" fontId="0" fillId="0" borderId="0" xfId="1" applyFont="1" applyFill="1" applyAlignment="1"/>
    <xf numFmtId="0" fontId="14" fillId="0" borderId="6" xfId="2" applyFont="1" applyFill="1" applyBorder="1" applyAlignment="1">
      <alignment horizontal="left"/>
    </xf>
    <xf numFmtId="0" fontId="11" fillId="0" borderId="6" xfId="2" applyFont="1" applyFill="1" applyBorder="1" applyAlignment="1">
      <alignment horizontal="left"/>
    </xf>
    <xf numFmtId="165" fontId="11" fillId="0" borderId="6" xfId="1" applyFont="1" applyFill="1" applyBorder="1" applyAlignment="1">
      <alignment horizontal="left"/>
    </xf>
    <xf numFmtId="165" fontId="8" fillId="0" borderId="0" xfId="1" applyFont="1" applyFill="1" applyBorder="1" applyAlignment="1"/>
    <xf numFmtId="0" fontId="0" fillId="0" borderId="0" xfId="0" applyAlignment="1">
      <alignment horizontal="center"/>
    </xf>
    <xf numFmtId="0" fontId="6" fillId="0" borderId="0" xfId="0" applyFont="1"/>
    <xf numFmtId="0" fontId="2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0" fontId="12" fillId="0" borderId="6" xfId="0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0" fillId="0" borderId="6" xfId="0" applyBorder="1"/>
    <xf numFmtId="0" fontId="11" fillId="0" borderId="2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5" fillId="0" borderId="6" xfId="0" applyFont="1" applyBorder="1"/>
    <xf numFmtId="1" fontId="0" fillId="0" borderId="6" xfId="0" applyNumberFormat="1" applyBorder="1" applyAlignment="1">
      <alignment horizontal="left"/>
    </xf>
    <xf numFmtId="14" fontId="2" fillId="0" borderId="15" xfId="0" applyNumberFormat="1" applyFont="1" applyBorder="1" applyAlignment="1">
      <alignment horizontal="center" vertical="center"/>
    </xf>
    <xf numFmtId="165" fontId="8" fillId="0" borderId="0" xfId="1" applyFont="1" applyFill="1" applyBorder="1" applyAlignment="1">
      <alignment horizontal="left"/>
    </xf>
    <xf numFmtId="0" fontId="12" fillId="0" borderId="14" xfId="0" applyFont="1" applyBorder="1" applyAlignment="1">
      <alignment horizontal="center"/>
    </xf>
    <xf numFmtId="165" fontId="11" fillId="0" borderId="10" xfId="1" applyFont="1" applyFill="1" applyBorder="1" applyAlignment="1"/>
    <xf numFmtId="0" fontId="0" fillId="2" borderId="6" xfId="0" applyFill="1" applyBorder="1"/>
    <xf numFmtId="0" fontId="6" fillId="0" borderId="6" xfId="1" applyNumberFormat="1" applyFont="1" applyFill="1" applyBorder="1" applyAlignment="1">
      <alignment horizontal="left"/>
    </xf>
    <xf numFmtId="0" fontId="0" fillId="0" borderId="6" xfId="0" applyBorder="1" applyAlignment="1">
      <alignment horizontal="left"/>
    </xf>
    <xf numFmtId="2" fontId="15" fillId="0" borderId="6" xfId="1" applyNumberFormat="1" applyFont="1" applyFill="1" applyBorder="1" applyAlignment="1">
      <alignment horizontal="left"/>
    </xf>
    <xf numFmtId="2" fontId="16" fillId="0" borderId="6" xfId="0" applyNumberFormat="1" applyFont="1" applyBorder="1" applyAlignment="1">
      <alignment horizontal="left"/>
    </xf>
    <xf numFmtId="49" fontId="0" fillId="2" borderId="6" xfId="0" applyNumberFormat="1" applyFill="1" applyBorder="1" applyAlignment="1">
      <alignment horizontal="left"/>
    </xf>
    <xf numFmtId="0" fontId="0" fillId="3" borderId="6" xfId="0" applyFill="1" applyBorder="1"/>
    <xf numFmtId="49" fontId="0" fillId="3" borderId="6" xfId="0" applyNumberFormat="1" applyFill="1" applyBorder="1"/>
    <xf numFmtId="165" fontId="11" fillId="0" borderId="7" xfId="1" applyFont="1" applyFill="1" applyBorder="1" applyAlignment="1"/>
    <xf numFmtId="14" fontId="11" fillId="0" borderId="8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65" fontId="8" fillId="0" borderId="0" xfId="1" applyFont="1" applyFill="1" applyBorder="1" applyAlignment="1">
      <alignment horizontal="center"/>
    </xf>
    <xf numFmtId="165" fontId="2" fillId="0" borderId="0" xfId="1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11" fillId="0" borderId="4" xfId="0" applyNumberFormat="1" applyFont="1" applyBorder="1" applyAlignment="1">
      <alignment horizontal="center"/>
    </xf>
    <xf numFmtId="165" fontId="11" fillId="0" borderId="30" xfId="1" applyFont="1" applyFill="1" applyBorder="1" applyAlignment="1"/>
    <xf numFmtId="0" fontId="11" fillId="0" borderId="32" xfId="0" applyFont="1" applyBorder="1" applyAlignment="1">
      <alignment horizontal="center"/>
    </xf>
    <xf numFmtId="165" fontId="2" fillId="0" borderId="9" xfId="1" applyFont="1" applyFill="1" applyBorder="1" applyAlignment="1"/>
    <xf numFmtId="0" fontId="11" fillId="0" borderId="29" xfId="0" applyFont="1" applyBorder="1" applyAlignment="1">
      <alignment horizontal="center"/>
    </xf>
    <xf numFmtId="14" fontId="8" fillId="0" borderId="33" xfId="0" applyNumberFormat="1" applyFont="1" applyBorder="1" applyAlignment="1">
      <alignment horizontal="center"/>
    </xf>
    <xf numFmtId="165" fontId="12" fillId="0" borderId="19" xfId="1" applyFont="1" applyFill="1" applyBorder="1" applyAlignment="1">
      <alignment horizontal="center"/>
    </xf>
    <xf numFmtId="165" fontId="11" fillId="0" borderId="19" xfId="1" applyFont="1" applyFill="1" applyBorder="1" applyAlignment="1"/>
    <xf numFmtId="165" fontId="8" fillId="0" borderId="38" xfId="1" applyFont="1" applyFill="1" applyBorder="1" applyAlignment="1"/>
    <xf numFmtId="165" fontId="8" fillId="0" borderId="33" xfId="1" applyFont="1" applyFill="1" applyBorder="1" applyAlignment="1">
      <alignment horizontal="center"/>
    </xf>
    <xf numFmtId="0" fontId="0" fillId="4" borderId="6" xfId="0" applyFill="1" applyBorder="1"/>
    <xf numFmtId="1" fontId="2" fillId="4" borderId="6" xfId="1" applyNumberFormat="1" applyFont="1" applyFill="1" applyBorder="1"/>
    <xf numFmtId="49" fontId="0" fillId="0" borderId="6" xfId="0" applyNumberFormat="1" applyBorder="1"/>
    <xf numFmtId="49" fontId="0" fillId="0" borderId="0" xfId="0" applyNumberFormat="1"/>
    <xf numFmtId="0" fontId="2" fillId="0" borderId="5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44" fontId="0" fillId="0" borderId="0" xfId="56" applyFont="1"/>
    <xf numFmtId="0" fontId="0" fillId="0" borderId="6" xfId="0" applyBorder="1" applyAlignment="1">
      <alignment horizontal="center"/>
    </xf>
    <xf numFmtId="165" fontId="8" fillId="0" borderId="35" xfId="1" applyFont="1" applyFill="1" applyBorder="1" applyAlignment="1"/>
    <xf numFmtId="0" fontId="11" fillId="0" borderId="16" xfId="0" applyFont="1" applyBorder="1" applyAlignment="1">
      <alignment horizontal="center"/>
    </xf>
    <xf numFmtId="9" fontId="6" fillId="0" borderId="0" xfId="56" applyNumberFormat="1" applyFont="1" applyAlignment="1">
      <alignment horizontal="center"/>
    </xf>
    <xf numFmtId="44" fontId="6" fillId="0" borderId="0" xfId="56" applyFont="1" applyAlignment="1">
      <alignment horizontal="center"/>
    </xf>
    <xf numFmtId="44" fontId="0" fillId="0" borderId="6" xfId="56" applyFont="1" applyBorder="1"/>
    <xf numFmtId="44" fontId="0" fillId="0" borderId="6" xfId="0" applyNumberFormat="1" applyBorder="1"/>
    <xf numFmtId="165" fontId="2" fillId="0" borderId="9" xfId="1" applyFont="1" applyFill="1" applyBorder="1" applyAlignment="1">
      <alignment horizontal="center"/>
    </xf>
    <xf numFmtId="4" fontId="0" fillId="0" borderId="0" xfId="0" applyNumberFormat="1"/>
    <xf numFmtId="14" fontId="11" fillId="0" borderId="15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44" fontId="6" fillId="0" borderId="0" xfId="56" applyFont="1" applyAlignment="1">
      <alignment horizontal="center" vertical="center" wrapText="1"/>
    </xf>
    <xf numFmtId="0" fontId="6" fillId="0" borderId="33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165" fontId="6" fillId="0" borderId="37" xfId="1" applyFont="1" applyFill="1" applyBorder="1" applyAlignment="1">
      <alignment horizontal="center"/>
    </xf>
    <xf numFmtId="165" fontId="8" fillId="0" borderId="0" xfId="1" applyFont="1" applyFill="1" applyAlignment="1">
      <alignment horizontal="center"/>
    </xf>
    <xf numFmtId="0" fontId="8" fillId="0" borderId="3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8" fillId="0" borderId="33" xfId="0" applyNumberFormat="1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0" fillId="0" borderId="15" xfId="0" applyNumberFormat="1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1" fontId="20" fillId="0" borderId="9" xfId="0" applyNumberFormat="1" applyFont="1" applyBorder="1" applyAlignment="1">
      <alignment horizontal="center" vertical="center" wrapText="1"/>
    </xf>
    <xf numFmtId="165" fontId="21" fillId="0" borderId="10" xfId="1" applyFont="1" applyFill="1" applyBorder="1" applyAlignment="1"/>
    <xf numFmtId="14" fontId="2" fillId="0" borderId="8" xfId="0" applyNumberFormat="1" applyFont="1" applyBorder="1" applyAlignment="1">
      <alignment horizontal="center"/>
    </xf>
    <xf numFmtId="165" fontId="2" fillId="0" borderId="30" xfId="1" applyFont="1" applyFill="1" applyBorder="1" applyAlignment="1">
      <alignment horizontal="center" vertical="center"/>
    </xf>
    <xf numFmtId="165" fontId="2" fillId="0" borderId="9" xfId="1" applyFont="1" applyFill="1" applyBorder="1" applyAlignment="1">
      <alignment vertical="center"/>
    </xf>
    <xf numFmtId="165" fontId="2" fillId="0" borderId="10" xfId="1" applyFont="1" applyFill="1" applyBorder="1" applyAlignment="1"/>
    <xf numFmtId="165" fontId="8" fillId="0" borderId="20" xfId="1" applyFont="1" applyFill="1" applyBorder="1" applyAlignment="1"/>
    <xf numFmtId="0" fontId="12" fillId="0" borderId="45" xfId="0" applyFont="1" applyBorder="1"/>
    <xf numFmtId="4" fontId="12" fillId="0" borderId="38" xfId="0" applyNumberFormat="1" applyFont="1" applyBorder="1"/>
    <xf numFmtId="165" fontId="0" fillId="0" borderId="21" xfId="1" applyFont="1" applyFill="1" applyBorder="1" applyAlignment="1"/>
    <xf numFmtId="0" fontId="8" fillId="0" borderId="0" xfId="0" applyFont="1" applyAlignment="1">
      <alignment horizontal="left"/>
    </xf>
    <xf numFmtId="14" fontId="2" fillId="0" borderId="38" xfId="0" applyNumberFormat="1" applyFont="1" applyBorder="1" applyAlignment="1">
      <alignment horizontal="center"/>
    </xf>
    <xf numFmtId="44" fontId="0" fillId="0" borderId="0" xfId="0" applyNumberFormat="1"/>
    <xf numFmtId="167" fontId="0" fillId="0" borderId="0" xfId="0" applyNumberFormat="1"/>
    <xf numFmtId="167" fontId="0" fillId="0" borderId="0" xfId="56" applyNumberFormat="1" applyFont="1"/>
    <xf numFmtId="0" fontId="0" fillId="6" borderId="6" xfId="0" applyFill="1" applyBorder="1"/>
    <xf numFmtId="49" fontId="0" fillId="6" borderId="6" xfId="0" applyNumberFormat="1" applyFill="1" applyBorder="1"/>
    <xf numFmtId="0" fontId="0" fillId="7" borderId="6" xfId="0" applyFill="1" applyBorder="1"/>
    <xf numFmtId="49" fontId="0" fillId="7" borderId="6" xfId="0" applyNumberFormat="1" applyFill="1" applyBorder="1"/>
    <xf numFmtId="0" fontId="0" fillId="8" borderId="6" xfId="0" applyFill="1" applyBorder="1"/>
    <xf numFmtId="49" fontId="0" fillId="8" borderId="6" xfId="0" applyNumberFormat="1" applyFill="1" applyBorder="1"/>
    <xf numFmtId="14" fontId="2" fillId="0" borderId="9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0" fillId="9" borderId="6" xfId="0" applyFill="1" applyBorder="1"/>
    <xf numFmtId="49" fontId="0" fillId="9" borderId="6" xfId="0" applyNumberFormat="1" applyFill="1" applyBorder="1"/>
    <xf numFmtId="0" fontId="0" fillId="10" borderId="6" xfId="0" applyFill="1" applyBorder="1"/>
    <xf numFmtId="49" fontId="0" fillId="10" borderId="6" xfId="0" applyNumberFormat="1" applyFill="1" applyBorder="1"/>
    <xf numFmtId="0" fontId="23" fillId="5" borderId="46" xfId="0" applyFont="1" applyFill="1" applyBorder="1" applyAlignment="1">
      <alignment vertical="center" wrapText="1"/>
    </xf>
    <xf numFmtId="0" fontId="0" fillId="11" borderId="6" xfId="0" applyFill="1" applyBorder="1"/>
    <xf numFmtId="49" fontId="0" fillId="11" borderId="6" xfId="0" applyNumberFormat="1" applyFill="1" applyBorder="1"/>
    <xf numFmtId="0" fontId="0" fillId="12" borderId="6" xfId="0" applyFill="1" applyBorder="1"/>
    <xf numFmtId="0" fontId="0" fillId="13" borderId="6" xfId="0" applyFill="1" applyBorder="1"/>
    <xf numFmtId="0" fontId="11" fillId="14" borderId="6" xfId="0" applyFont="1" applyFill="1" applyBorder="1" applyAlignment="1">
      <alignment horizontal="left"/>
    </xf>
    <xf numFmtId="165" fontId="1" fillId="0" borderId="5" xfId="1" applyFont="1" applyFill="1" applyBorder="1" applyAlignment="1">
      <alignment horizontal="center" vertical="center"/>
    </xf>
    <xf numFmtId="165" fontId="0" fillId="0" borderId="9" xfId="1" applyFont="1" applyFill="1" applyBorder="1" applyAlignment="1">
      <alignment horizontal="center" vertical="center"/>
    </xf>
    <xf numFmtId="0" fontId="0" fillId="15" borderId="6" xfId="0" applyFill="1" applyBorder="1"/>
    <xf numFmtId="0" fontId="0" fillId="15" borderId="6" xfId="0" applyFill="1" applyBorder="1" applyAlignment="1">
      <alignment horizontal="left"/>
    </xf>
    <xf numFmtId="0" fontId="0" fillId="16" borderId="6" xfId="0" applyFill="1" applyBorder="1"/>
    <xf numFmtId="0" fontId="0" fillId="17" borderId="6" xfId="0" applyFill="1" applyBorder="1"/>
    <xf numFmtId="0" fontId="2" fillId="0" borderId="0" xfId="0" applyFont="1" applyAlignment="1">
      <alignment horizontal="left"/>
    </xf>
    <xf numFmtId="0" fontId="24" fillId="0" borderId="10" xfId="0" applyFont="1" applyBorder="1" applyAlignment="1">
      <alignment vertical="center" wrapText="1"/>
    </xf>
    <xf numFmtId="0" fontId="8" fillId="0" borderId="44" xfId="0" applyFont="1" applyBorder="1" applyAlignment="1">
      <alignment horizontal="center"/>
    </xf>
    <xf numFmtId="0" fontId="25" fillId="0" borderId="0" xfId="0" applyFont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4" fontId="26" fillId="0" borderId="0" xfId="2" applyNumberFormat="1" applyFont="1" applyFill="1" applyBorder="1" applyAlignment="1">
      <alignment horizontal="center"/>
    </xf>
    <xf numFmtId="0" fontId="0" fillId="18" borderId="6" xfId="0" applyFill="1" applyBorder="1"/>
    <xf numFmtId="0" fontId="0" fillId="19" borderId="6" xfId="0" applyFill="1" applyBorder="1"/>
    <xf numFmtId="0" fontId="0" fillId="20" borderId="6" xfId="0" applyFill="1" applyBorder="1"/>
    <xf numFmtId="0" fontId="28" fillId="0" borderId="0" xfId="0" applyFont="1"/>
    <xf numFmtId="14" fontId="2" fillId="0" borderId="5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165" fontId="2" fillId="0" borderId="0" xfId="1" applyFont="1" applyFill="1" applyBorder="1" applyAlignment="1">
      <alignment horizontal="center" vertical="center" wrapText="1"/>
    </xf>
    <xf numFmtId="165" fontId="2" fillId="0" borderId="0" xfId="1" applyFont="1" applyFill="1" applyBorder="1" applyAlignment="1"/>
    <xf numFmtId="165" fontId="2" fillId="0" borderId="0" xfId="1" applyFont="1" applyFill="1" applyBorder="1" applyAlignment="1">
      <alignment horizontal="right"/>
    </xf>
    <xf numFmtId="0" fontId="0" fillId="9" borderId="0" xfId="0" applyFill="1"/>
    <xf numFmtId="0" fontId="2" fillId="12" borderId="30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0" fillId="9" borderId="6" xfId="0" applyFill="1" applyBorder="1" applyAlignment="1">
      <alignment horizontal="left"/>
    </xf>
    <xf numFmtId="0" fontId="0" fillId="13" borderId="6" xfId="0" applyFill="1" applyBorder="1" applyAlignment="1">
      <alignment horizontal="left"/>
    </xf>
    <xf numFmtId="0" fontId="0" fillId="21" borderId="6" xfId="0" applyFill="1" applyBorder="1"/>
    <xf numFmtId="167" fontId="8" fillId="0" borderId="0" xfId="0" applyNumberFormat="1" applyFont="1" applyAlignment="1">
      <alignment horizontal="center"/>
    </xf>
    <xf numFmtId="0" fontId="0" fillId="22" borderId="6" xfId="0" applyFill="1" applyBorder="1"/>
    <xf numFmtId="0" fontId="0" fillId="12" borderId="6" xfId="0" applyFill="1" applyBorder="1" applyAlignment="1">
      <alignment horizontal="left"/>
    </xf>
    <xf numFmtId="0" fontId="0" fillId="6" borderId="42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12" borderId="42" xfId="0" applyFill="1" applyBorder="1" applyAlignment="1">
      <alignment horizontal="left"/>
    </xf>
    <xf numFmtId="0" fontId="0" fillId="23" borderId="6" xfId="0" applyFill="1" applyBorder="1"/>
    <xf numFmtId="0" fontId="29" fillId="0" borderId="0" xfId="0" applyFont="1" applyAlignment="1">
      <alignment vertical="center" wrapText="1"/>
    </xf>
    <xf numFmtId="0" fontId="0" fillId="14" borderId="6" xfId="0" applyFill="1" applyBorder="1"/>
    <xf numFmtId="0" fontId="0" fillId="0" borderId="6" xfId="0" quotePrefix="1" applyBorder="1"/>
    <xf numFmtId="0" fontId="0" fillId="0" borderId="0" xfId="0" applyAlignment="1">
      <alignment vertical="center"/>
    </xf>
    <xf numFmtId="0" fontId="0" fillId="15" borderId="7" xfId="0" applyFill="1" applyBorder="1" applyAlignment="1">
      <alignment horizontal="left" vertical="center"/>
    </xf>
    <xf numFmtId="14" fontId="2" fillId="22" borderId="42" xfId="0" applyNumberFormat="1" applyFont="1" applyFill="1" applyBorder="1" applyAlignment="1">
      <alignment horizontal="left"/>
    </xf>
    <xf numFmtId="14" fontId="2" fillId="0" borderId="47" xfId="0" applyNumberFormat="1" applyFont="1" applyBorder="1" applyAlignment="1">
      <alignment horizontal="center"/>
    </xf>
    <xf numFmtId="14" fontId="2" fillId="23" borderId="42" xfId="0" applyNumberFormat="1" applyFont="1" applyFill="1" applyBorder="1" applyAlignment="1">
      <alignment horizontal="left"/>
    </xf>
    <xf numFmtId="14" fontId="2" fillId="14" borderId="42" xfId="0" applyNumberFormat="1" applyFont="1" applyFill="1" applyBorder="1" applyAlignment="1">
      <alignment horizontal="left"/>
    </xf>
    <xf numFmtId="0" fontId="0" fillId="14" borderId="6" xfId="0" applyFill="1" applyBorder="1" applyAlignment="1">
      <alignment horizontal="left"/>
    </xf>
    <xf numFmtId="165" fontId="2" fillId="0" borderId="0" xfId="1" applyFont="1"/>
    <xf numFmtId="0" fontId="0" fillId="24" borderId="6" xfId="0" applyFill="1" applyBorder="1"/>
    <xf numFmtId="2" fontId="8" fillId="0" borderId="0" xfId="0" applyNumberFormat="1" applyFont="1"/>
    <xf numFmtId="2" fontId="8" fillId="0" borderId="34" xfId="0" applyNumberFormat="1" applyFont="1" applyBorder="1" applyAlignment="1">
      <alignment horizontal="center"/>
    </xf>
    <xf numFmtId="44" fontId="0" fillId="9" borderId="6" xfId="56" applyFont="1" applyFill="1" applyBorder="1"/>
    <xf numFmtId="49" fontId="2" fillId="0" borderId="9" xfId="0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left"/>
    </xf>
    <xf numFmtId="0" fontId="0" fillId="25" borderId="6" xfId="0" applyFill="1" applyBorder="1"/>
    <xf numFmtId="167" fontId="6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26" borderId="6" xfId="0" applyFill="1" applyBorder="1"/>
    <xf numFmtId="0" fontId="0" fillId="27" borderId="6" xfId="0" applyFill="1" applyBorder="1"/>
    <xf numFmtId="0" fontId="8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0" fillId="28" borderId="6" xfId="0" applyFill="1" applyBorder="1"/>
    <xf numFmtId="0" fontId="0" fillId="29" borderId="6" xfId="0" applyFill="1" applyBorder="1"/>
    <xf numFmtId="14" fontId="2" fillId="29" borderId="6" xfId="0" applyNumberFormat="1" applyFont="1" applyFill="1" applyBorder="1" applyAlignment="1">
      <alignment horizontal="left" vertical="center"/>
    </xf>
    <xf numFmtId="43" fontId="2" fillId="0" borderId="0" xfId="0" applyNumberFormat="1" applyFont="1" applyAlignment="1">
      <alignment horizontal="center"/>
    </xf>
    <xf numFmtId="0" fontId="0" fillId="30" borderId="6" xfId="0" applyFill="1" applyBorder="1"/>
    <xf numFmtId="165" fontId="8" fillId="0" borderId="0" xfId="1" applyFont="1" applyBorder="1" applyAlignment="1">
      <alignment horizontal="right"/>
    </xf>
    <xf numFmtId="0" fontId="0" fillId="31" borderId="6" xfId="0" applyFill="1" applyBorder="1"/>
    <xf numFmtId="0" fontId="0" fillId="31" borderId="42" xfId="0" applyFill="1" applyBorder="1" applyAlignment="1">
      <alignment horizontal="left"/>
    </xf>
    <xf numFmtId="0" fontId="0" fillId="32" borderId="6" xfId="0" applyFill="1" applyBorder="1"/>
    <xf numFmtId="0" fontId="0" fillId="34" borderId="7" xfId="0" applyFill="1" applyBorder="1" applyAlignment="1">
      <alignment horizontal="left"/>
    </xf>
    <xf numFmtId="0" fontId="0" fillId="34" borderId="6" xfId="0" applyFill="1" applyBorder="1"/>
    <xf numFmtId="0" fontId="0" fillId="35" borderId="42" xfId="0" applyFill="1" applyBorder="1" applyAlignment="1">
      <alignment horizontal="left"/>
    </xf>
    <xf numFmtId="0" fontId="0" fillId="35" borderId="6" xfId="0" applyFill="1" applyBorder="1"/>
    <xf numFmtId="0" fontId="0" fillId="0" borderId="5" xfId="0" applyBorder="1" applyAlignment="1">
      <alignment horizontal="center"/>
    </xf>
    <xf numFmtId="4" fontId="2" fillId="0" borderId="5" xfId="5" applyNumberFormat="1" applyFont="1" applyBorder="1" applyAlignment="1">
      <alignment horizontal="right"/>
    </xf>
    <xf numFmtId="4" fontId="2" fillId="0" borderId="6" xfId="5" applyNumberFormat="1" applyFont="1" applyBorder="1" applyAlignment="1">
      <alignment horizontal="right"/>
    </xf>
    <xf numFmtId="0" fontId="0" fillId="0" borderId="9" xfId="0" applyBorder="1"/>
    <xf numFmtId="4" fontId="2" fillId="0" borderId="9" xfId="5" applyNumberFormat="1" applyFont="1" applyBorder="1" applyAlignment="1">
      <alignment horizontal="right"/>
    </xf>
    <xf numFmtId="165" fontId="0" fillId="0" borderId="0" xfId="1" applyFont="1"/>
    <xf numFmtId="165" fontId="0" fillId="0" borderId="0" xfId="0" applyNumberFormat="1"/>
    <xf numFmtId="0" fontId="0" fillId="31" borderId="18" xfId="0" applyFill="1" applyBorder="1"/>
    <xf numFmtId="0" fontId="0" fillId="36" borderId="42" xfId="0" applyFill="1" applyBorder="1" applyAlignment="1">
      <alignment horizontal="left"/>
    </xf>
    <xf numFmtId="0" fontId="0" fillId="36" borderId="6" xfId="0" applyFill="1" applyBorder="1"/>
    <xf numFmtId="0" fontId="0" fillId="34" borderId="42" xfId="0" applyFill="1" applyBorder="1" applyAlignment="1">
      <alignment horizontal="left"/>
    </xf>
    <xf numFmtId="0" fontId="0" fillId="32" borderId="7" xfId="0" applyFill="1" applyBorder="1" applyAlignment="1">
      <alignment horizontal="left"/>
    </xf>
    <xf numFmtId="0" fontId="0" fillId="37" borderId="6" xfId="0" applyFill="1" applyBorder="1"/>
    <xf numFmtId="0" fontId="0" fillId="37" borderId="7" xfId="0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2" fillId="7" borderId="42" xfId="0" applyNumberFormat="1" applyFont="1" applyFill="1" applyBorder="1" applyAlignment="1">
      <alignment horizontal="left"/>
    </xf>
    <xf numFmtId="0" fontId="30" fillId="0" borderId="0" xfId="0" applyFont="1"/>
    <xf numFmtId="0" fontId="30" fillId="0" borderId="38" xfId="0" applyFont="1" applyBorder="1"/>
    <xf numFmtId="4" fontId="20" fillId="0" borderId="38" xfId="5" applyNumberFormat="1" applyFont="1" applyBorder="1" applyAlignment="1">
      <alignment horizontal="right"/>
    </xf>
    <xf numFmtId="43" fontId="20" fillId="0" borderId="0" xfId="0" applyNumberFormat="1" applyFont="1" applyAlignment="1">
      <alignment horizontal="center"/>
    </xf>
    <xf numFmtId="167" fontId="31" fillId="0" borderId="0" xfId="0" applyNumberFormat="1" applyFont="1" applyAlignment="1">
      <alignment horizontal="center"/>
    </xf>
    <xf numFmtId="0" fontId="31" fillId="0" borderId="0" xfId="0" applyFont="1"/>
    <xf numFmtId="0" fontId="0" fillId="36" borderId="7" xfId="0" applyFill="1" applyBorder="1" applyAlignment="1">
      <alignment horizontal="left"/>
    </xf>
    <xf numFmtId="44" fontId="27" fillId="33" borderId="0" xfId="56" applyFont="1" applyFill="1" applyAlignment="1">
      <alignment horizontal="center"/>
    </xf>
    <xf numFmtId="4" fontId="20" fillId="0" borderId="0" xfId="5" applyNumberFormat="1" applyFont="1" applyAlignment="1">
      <alignment horizontal="right"/>
    </xf>
    <xf numFmtId="14" fontId="2" fillId="21" borderId="6" xfId="0" applyNumberFormat="1" applyFont="1" applyFill="1" applyBorder="1" applyAlignment="1">
      <alignment horizontal="left" vertical="center"/>
    </xf>
    <xf numFmtId="0" fontId="0" fillId="21" borderId="0" xfId="0" applyFill="1"/>
    <xf numFmtId="165" fontId="2" fillId="0" borderId="7" xfId="1" applyFont="1" applyFill="1" applyBorder="1" applyAlignment="1">
      <alignment horizontal="center" vertical="center"/>
    </xf>
    <xf numFmtId="0" fontId="2" fillId="0" borderId="9" xfId="1" applyNumberFormat="1" applyFont="1" applyFill="1" applyBorder="1" applyAlignment="1">
      <alignment vertical="center" wrapText="1"/>
    </xf>
    <xf numFmtId="14" fontId="2" fillId="30" borderId="42" xfId="0" applyNumberFormat="1" applyFont="1" applyFill="1" applyBorder="1" applyAlignment="1">
      <alignment horizontal="left"/>
    </xf>
    <xf numFmtId="0" fontId="0" fillId="38" borderId="6" xfId="0" applyFill="1" applyBorder="1"/>
    <xf numFmtId="14" fontId="2" fillId="38" borderId="42" xfId="0" applyNumberFormat="1" applyFont="1" applyFill="1" applyBorder="1" applyAlignment="1">
      <alignment horizontal="left"/>
    </xf>
    <xf numFmtId="0" fontId="0" fillId="39" borderId="42" xfId="0" applyFill="1" applyBorder="1" applyAlignment="1">
      <alignment horizontal="left"/>
    </xf>
    <xf numFmtId="0" fontId="0" fillId="39" borderId="6" xfId="0" applyFill="1" applyBorder="1"/>
    <xf numFmtId="0" fontId="0" fillId="39" borderId="0" xfId="0" applyFill="1"/>
    <xf numFmtId="0" fontId="0" fillId="40" borderId="6" xfId="0" applyFill="1" applyBorder="1"/>
    <xf numFmtId="0" fontId="0" fillId="40" borderId="7" xfId="0" applyFill="1" applyBorder="1" applyAlignment="1">
      <alignment horizontal="left" vertical="center"/>
    </xf>
    <xf numFmtId="165" fontId="2" fillId="0" borderId="30" xfId="1" applyFont="1" applyFill="1" applyBorder="1" applyAlignment="1">
      <alignment horizontal="center"/>
    </xf>
    <xf numFmtId="0" fontId="0" fillId="21" borderId="30" xfId="0" applyFill="1" applyBorder="1" applyAlignment="1">
      <alignment horizontal="left"/>
    </xf>
    <xf numFmtId="0" fontId="0" fillId="41" borderId="6" xfId="0" applyFill="1" applyBorder="1"/>
    <xf numFmtId="0" fontId="0" fillId="22" borderId="42" xfId="0" applyFill="1" applyBorder="1" applyAlignment="1">
      <alignment horizontal="left"/>
    </xf>
    <xf numFmtId="165" fontId="9" fillId="0" borderId="0" xfId="1" applyFont="1" applyFill="1" applyAlignment="1">
      <alignment horizontal="right"/>
    </xf>
    <xf numFmtId="165" fontId="27" fillId="0" borderId="0" xfId="1" applyFont="1" applyFill="1"/>
    <xf numFmtId="165" fontId="2" fillId="0" borderId="38" xfId="1" applyFont="1" applyBorder="1"/>
    <xf numFmtId="165" fontId="2" fillId="0" borderId="9" xfId="1" applyFont="1" applyBorder="1" applyAlignment="1">
      <alignment horizontal="center"/>
    </xf>
    <xf numFmtId="165" fontId="9" fillId="0" borderId="0" xfId="1" applyFont="1"/>
    <xf numFmtId="165" fontId="4" fillId="0" borderId="7" xfId="1" applyFont="1" applyFill="1" applyBorder="1" applyAlignment="1">
      <alignment horizontal="center"/>
    </xf>
    <xf numFmtId="165" fontId="8" fillId="0" borderId="37" xfId="1" applyFont="1" applyBorder="1" applyAlignment="1">
      <alignment horizontal="center"/>
    </xf>
    <xf numFmtId="165" fontId="11" fillId="0" borderId="5" xfId="1" applyFont="1" applyBorder="1" applyAlignment="1">
      <alignment horizontal="center"/>
    </xf>
    <xf numFmtId="165" fontId="11" fillId="0" borderId="6" xfId="1" applyFont="1" applyBorder="1" applyAlignment="1">
      <alignment horizontal="center"/>
    </xf>
    <xf numFmtId="165" fontId="11" fillId="0" borderId="9" xfId="1" applyFont="1" applyBorder="1" applyAlignment="1">
      <alignment horizontal="center"/>
    </xf>
    <xf numFmtId="165" fontId="11" fillId="0" borderId="11" xfId="1" applyFont="1" applyBorder="1" applyAlignment="1">
      <alignment horizontal="left"/>
    </xf>
    <xf numFmtId="165" fontId="6" fillId="0" borderId="0" xfId="1" applyFont="1" applyAlignment="1">
      <alignment horizontal="center"/>
    </xf>
    <xf numFmtId="165" fontId="8" fillId="0" borderId="0" xfId="1" applyFont="1" applyAlignment="1">
      <alignment horizontal="center"/>
    </xf>
    <xf numFmtId="165" fontId="20" fillId="0" borderId="0" xfId="1" applyFont="1" applyAlignment="1">
      <alignment horizontal="center"/>
    </xf>
    <xf numFmtId="165" fontId="2" fillId="0" borderId="13" xfId="1" applyFont="1" applyBorder="1"/>
    <xf numFmtId="165" fontId="26" fillId="0" borderId="0" xfId="1" applyFont="1" applyFill="1" applyBorder="1" applyAlignment="1"/>
    <xf numFmtId="14" fontId="8" fillId="27" borderId="42" xfId="0" applyNumberFormat="1" applyFont="1" applyFill="1" applyBorder="1" applyAlignment="1">
      <alignment horizontal="left"/>
    </xf>
    <xf numFmtId="0" fontId="6" fillId="27" borderId="6" xfId="0" applyFont="1" applyFill="1" applyBorder="1"/>
    <xf numFmtId="0" fontId="0" fillId="42" borderId="6" xfId="0" applyFill="1" applyBorder="1"/>
    <xf numFmtId="14" fontId="2" fillId="40" borderId="7" xfId="0" applyNumberFormat="1" applyFont="1" applyFill="1" applyBorder="1" applyAlignment="1">
      <alignment horizontal="left"/>
    </xf>
    <xf numFmtId="0" fontId="1" fillId="27" borderId="7" xfId="0" applyFont="1" applyFill="1" applyBorder="1" applyAlignment="1">
      <alignment horizontal="left"/>
    </xf>
    <xf numFmtId="0" fontId="1" fillId="7" borderId="7" xfId="0" applyFont="1" applyFill="1" applyBorder="1" applyAlignment="1">
      <alignment horizontal="left"/>
    </xf>
    <xf numFmtId="0" fontId="0" fillId="42" borderId="26" xfId="0" applyFill="1" applyBorder="1" applyAlignment="1">
      <alignment horizontal="left"/>
    </xf>
    <xf numFmtId="0" fontId="0" fillId="17" borderId="26" xfId="0" applyFill="1" applyBorder="1" applyAlignment="1">
      <alignment horizontal="left"/>
    </xf>
    <xf numFmtId="0" fontId="0" fillId="41" borderId="26" xfId="0" applyFill="1" applyBorder="1" applyAlignment="1">
      <alignment horizontal="left"/>
    </xf>
    <xf numFmtId="0" fontId="0" fillId="43" borderId="6" xfId="0" applyFill="1" applyBorder="1"/>
    <xf numFmtId="0" fontId="0" fillId="18" borderId="7" xfId="0" applyFill="1" applyBorder="1" applyAlignment="1">
      <alignment horizontal="left"/>
    </xf>
    <xf numFmtId="0" fontId="0" fillId="44" borderId="6" xfId="0" applyFill="1" applyBorder="1"/>
    <xf numFmtId="0" fontId="0" fillId="7" borderId="30" xfId="0" applyFill="1" applyBorder="1" applyAlignment="1">
      <alignment horizontal="left"/>
    </xf>
    <xf numFmtId="0" fontId="6" fillId="30" borderId="7" xfId="0" applyFont="1" applyFill="1" applyBorder="1" applyAlignment="1">
      <alignment horizontal="left"/>
    </xf>
    <xf numFmtId="0" fontId="6" fillId="30" borderId="6" xfId="0" applyFont="1" applyFill="1" applyBorder="1"/>
    <xf numFmtId="165" fontId="2" fillId="0" borderId="17" xfId="1" applyFont="1" applyFill="1" applyBorder="1" applyAlignment="1">
      <alignment horizontal="center"/>
    </xf>
    <xf numFmtId="0" fontId="33" fillId="0" borderId="0" xfId="0" applyFont="1"/>
    <xf numFmtId="0" fontId="0" fillId="30" borderId="42" xfId="0" applyFill="1" applyBorder="1" applyAlignment="1">
      <alignment horizontal="left"/>
    </xf>
    <xf numFmtId="0" fontId="0" fillId="25" borderId="42" xfId="0" applyFill="1" applyBorder="1" applyAlignment="1">
      <alignment horizontal="left"/>
    </xf>
    <xf numFmtId="0" fontId="0" fillId="41" borderId="42" xfId="0" applyFill="1" applyBorder="1" applyAlignment="1">
      <alignment horizontal="left"/>
    </xf>
    <xf numFmtId="0" fontId="0" fillId="7" borderId="42" xfId="0" applyFill="1" applyBorder="1" applyAlignment="1">
      <alignment horizontal="left"/>
    </xf>
    <xf numFmtId="0" fontId="0" fillId="0" borderId="50" xfId="0" applyBorder="1"/>
    <xf numFmtId="0" fontId="31" fillId="0" borderId="50" xfId="0" applyFont="1" applyBorder="1"/>
    <xf numFmtId="165" fontId="6" fillId="0" borderId="33" xfId="1" applyFont="1" applyBorder="1" applyAlignment="1">
      <alignment horizontal="center"/>
    </xf>
    <xf numFmtId="165" fontId="0" fillId="0" borderId="0" xfId="1" applyFont="1" applyFill="1" applyAlignment="1">
      <alignment horizontal="center"/>
    </xf>
    <xf numFmtId="14" fontId="2" fillId="18" borderId="42" xfId="0" applyNumberFormat="1" applyFont="1" applyFill="1" applyBorder="1" applyAlignment="1">
      <alignment horizontal="left"/>
    </xf>
    <xf numFmtId="0" fontId="0" fillId="45" borderId="6" xfId="0" applyFill="1" applyBorder="1"/>
    <xf numFmtId="0" fontId="0" fillId="22" borderId="0" xfId="0" applyFill="1"/>
    <xf numFmtId="0" fontId="0" fillId="7" borderId="7" xfId="0" applyFill="1" applyBorder="1" applyAlignment="1">
      <alignment horizontal="left"/>
    </xf>
    <xf numFmtId="0" fontId="0" fillId="41" borderId="0" xfId="0" applyFill="1" applyAlignment="1">
      <alignment horizontal="left"/>
    </xf>
    <xf numFmtId="0" fontId="2" fillId="33" borderId="10" xfId="0" applyFont="1" applyFill="1" applyBorder="1" applyAlignment="1">
      <alignment horizontal="center"/>
    </xf>
    <xf numFmtId="0" fontId="0" fillId="0" borderId="19" xfId="0" applyBorder="1"/>
    <xf numFmtId="4" fontId="7" fillId="0" borderId="19" xfId="5" applyNumberFormat="1" applyFont="1" applyBorder="1" applyAlignment="1">
      <alignment horizontal="right"/>
    </xf>
    <xf numFmtId="165" fontId="7" fillId="0" borderId="19" xfId="1" applyFont="1" applyBorder="1" applyAlignment="1"/>
    <xf numFmtId="165" fontId="35" fillId="0" borderId="19" xfId="1" applyFont="1" applyBorder="1" applyAlignment="1"/>
    <xf numFmtId="0" fontId="2" fillId="0" borderId="1" xfId="0" applyFont="1" applyBorder="1" applyAlignment="1">
      <alignment vertical="center" wrapText="1"/>
    </xf>
    <xf numFmtId="0" fontId="2" fillId="0" borderId="28" xfId="0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14" fontId="34" fillId="33" borderId="51" xfId="0" applyNumberFormat="1" applyFont="1" applyFill="1" applyBorder="1"/>
    <xf numFmtId="0" fontId="35" fillId="33" borderId="5" xfId="5" applyFont="1" applyFill="1" applyBorder="1" applyAlignment="1">
      <alignment horizontal="center"/>
    </xf>
    <xf numFmtId="165" fontId="34" fillId="33" borderId="5" xfId="1" applyFont="1" applyFill="1" applyBorder="1" applyAlignment="1">
      <alignment horizontal="center"/>
    </xf>
    <xf numFmtId="165" fontId="35" fillId="33" borderId="5" xfId="1" applyFont="1" applyFill="1" applyBorder="1" applyAlignment="1">
      <alignment horizontal="center"/>
    </xf>
    <xf numFmtId="0" fontId="35" fillId="33" borderId="5" xfId="1" applyNumberFormat="1" applyFont="1" applyFill="1" applyBorder="1" applyAlignment="1">
      <alignment horizontal="center"/>
    </xf>
    <xf numFmtId="165" fontId="35" fillId="33" borderId="32" xfId="1" applyFont="1" applyFill="1" applyBorder="1" applyAlignment="1">
      <alignment horizontal="center"/>
    </xf>
    <xf numFmtId="0" fontId="2" fillId="33" borderId="30" xfId="0" applyFont="1" applyFill="1" applyBorder="1" applyAlignment="1">
      <alignment horizontal="center"/>
    </xf>
    <xf numFmtId="14" fontId="35" fillId="33" borderId="48" xfId="0" applyNumberFormat="1" applyFont="1" applyFill="1" applyBorder="1"/>
    <xf numFmtId="0" fontId="35" fillId="33" borderId="6" xfId="5" applyFont="1" applyFill="1" applyBorder="1" applyAlignment="1">
      <alignment horizontal="center"/>
    </xf>
    <xf numFmtId="165" fontId="35" fillId="33" borderId="6" xfId="1" applyFont="1" applyFill="1" applyBorder="1" applyAlignment="1">
      <alignment horizontal="center"/>
    </xf>
    <xf numFmtId="0" fontId="35" fillId="33" borderId="6" xfId="1" applyNumberFormat="1" applyFont="1" applyFill="1" applyBorder="1" applyAlignment="1">
      <alignment horizontal="center" vertical="center" wrapText="1"/>
    </xf>
    <xf numFmtId="165" fontId="35" fillId="33" borderId="29" xfId="1" applyFont="1" applyFill="1" applyBorder="1" applyAlignment="1">
      <alignment horizontal="center"/>
    </xf>
    <xf numFmtId="0" fontId="2" fillId="33" borderId="7" xfId="0" applyFont="1" applyFill="1" applyBorder="1" applyAlignment="1">
      <alignment horizontal="center"/>
    </xf>
    <xf numFmtId="0" fontId="35" fillId="33" borderId="6" xfId="1" applyNumberFormat="1" applyFont="1" applyFill="1" applyBorder="1" applyAlignment="1">
      <alignment horizontal="center"/>
    </xf>
    <xf numFmtId="14" fontId="35" fillId="33" borderId="48" xfId="0" applyNumberFormat="1" applyFont="1" applyFill="1" applyBorder="1" applyAlignment="1">
      <alignment horizontal="center"/>
    </xf>
    <xf numFmtId="4" fontId="35" fillId="33" borderId="6" xfId="5" applyNumberFormat="1" applyFont="1" applyFill="1" applyBorder="1" applyAlignment="1">
      <alignment horizontal="center"/>
    </xf>
    <xf numFmtId="14" fontId="34" fillId="33" borderId="55" xfId="0" applyNumberFormat="1" applyFont="1" applyFill="1" applyBorder="1"/>
    <xf numFmtId="4" fontId="35" fillId="33" borderId="9" xfId="5" applyNumberFormat="1" applyFont="1" applyFill="1" applyBorder="1" applyAlignment="1">
      <alignment horizontal="center"/>
    </xf>
    <xf numFmtId="165" fontId="35" fillId="33" borderId="9" xfId="1" applyFont="1" applyFill="1" applyBorder="1" applyAlignment="1">
      <alignment horizontal="center"/>
    </xf>
    <xf numFmtId="165" fontId="35" fillId="33" borderId="56" xfId="1" applyFont="1" applyFill="1" applyBorder="1" applyAlignment="1">
      <alignment horizontal="center"/>
    </xf>
    <xf numFmtId="0" fontId="4" fillId="46" borderId="6" xfId="1005" applyFill="1" applyBorder="1" applyAlignment="1">
      <alignment vertical="center"/>
    </xf>
    <xf numFmtId="0" fontId="0" fillId="18" borderId="6" xfId="0" applyFill="1" applyBorder="1" applyAlignment="1">
      <alignment horizontal="left"/>
    </xf>
    <xf numFmtId="0" fontId="0" fillId="22" borderId="6" xfId="0" applyFill="1" applyBorder="1" applyAlignment="1">
      <alignment horizontal="left" vertical="center"/>
    </xf>
    <xf numFmtId="0" fontId="0" fillId="22" borderId="6" xfId="0" applyFill="1" applyBorder="1" applyAlignment="1">
      <alignment horizontal="left"/>
    </xf>
    <xf numFmtId="0" fontId="22" fillId="46" borderId="6" xfId="0" applyFont="1" applyFill="1" applyBorder="1"/>
    <xf numFmtId="0" fontId="0" fillId="47" borderId="6" xfId="0" applyFill="1" applyBorder="1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center"/>
    </xf>
    <xf numFmtId="165" fontId="9" fillId="0" borderId="0" xfId="1" applyFont="1" applyFill="1" applyBorder="1" applyAlignment="1">
      <alignment horizontal="right"/>
    </xf>
    <xf numFmtId="14" fontId="1" fillId="22" borderId="6" xfId="0" applyNumberFormat="1" applyFont="1" applyFill="1" applyBorder="1" applyAlignment="1">
      <alignment horizontal="left"/>
    </xf>
    <xf numFmtId="165" fontId="2" fillId="0" borderId="7" xfId="1" applyFont="1" applyFill="1" applyBorder="1" applyAlignment="1">
      <alignment horizontal="center"/>
    </xf>
    <xf numFmtId="165" fontId="0" fillId="0" borderId="9" xfId="1" applyFont="1" applyFill="1" applyBorder="1" applyAlignment="1"/>
    <xf numFmtId="14" fontId="8" fillId="27" borderId="6" xfId="0" applyNumberFormat="1" applyFont="1" applyFill="1" applyBorder="1" applyAlignment="1">
      <alignment horizontal="left"/>
    </xf>
    <xf numFmtId="14" fontId="1" fillId="48" borderId="6" xfId="0" applyNumberFormat="1" applyFont="1" applyFill="1" applyBorder="1" applyAlignment="1">
      <alignment horizontal="left"/>
    </xf>
    <xf numFmtId="0" fontId="0" fillId="48" borderId="6" xfId="0" applyFill="1" applyBorder="1"/>
    <xf numFmtId="0" fontId="23" fillId="0" borderId="0" xfId="0" applyFont="1"/>
    <xf numFmtId="14" fontId="1" fillId="45" borderId="6" xfId="0" applyNumberFormat="1" applyFont="1" applyFill="1" applyBorder="1" applyAlignment="1">
      <alignment horizontal="left"/>
    </xf>
    <xf numFmtId="0" fontId="23" fillId="5" borderId="5" xfId="0" applyFont="1" applyFill="1" applyBorder="1" applyAlignment="1">
      <alignment vertical="center" wrapText="1"/>
    </xf>
    <xf numFmtId="14" fontId="1" fillId="36" borderId="6" xfId="0" applyNumberFormat="1" applyFont="1" applyFill="1" applyBorder="1" applyAlignment="1">
      <alignment horizontal="left"/>
    </xf>
    <xf numFmtId="49" fontId="2" fillId="0" borderId="5" xfId="1" applyNumberFormat="1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 vertical="center"/>
    </xf>
    <xf numFmtId="0" fontId="0" fillId="49" borderId="0" xfId="0" applyFill="1"/>
    <xf numFmtId="165" fontId="8" fillId="0" borderId="0" xfId="0" applyNumberFormat="1" applyFont="1" applyAlignment="1">
      <alignment horizontal="left"/>
    </xf>
    <xf numFmtId="0" fontId="0" fillId="41" borderId="0" xfId="0" applyFill="1"/>
    <xf numFmtId="14" fontId="1" fillId="41" borderId="6" xfId="0" applyNumberFormat="1" applyFont="1" applyFill="1" applyBorder="1" applyAlignment="1">
      <alignment horizontal="left"/>
    </xf>
    <xf numFmtId="14" fontId="0" fillId="0" borderId="49" xfId="0" applyNumberFormat="1" applyBorder="1" applyAlignment="1">
      <alignment horizontal="center"/>
    </xf>
    <xf numFmtId="0" fontId="23" fillId="5" borderId="17" xfId="0" applyFont="1" applyFill="1" applyBorder="1" applyAlignment="1">
      <alignment vertical="center" wrapText="1"/>
    </xf>
    <xf numFmtId="4" fontId="2" fillId="0" borderId="17" xfId="5" applyNumberFormat="1" applyFont="1" applyBorder="1" applyAlignment="1">
      <alignment horizontal="right"/>
    </xf>
    <xf numFmtId="0" fontId="0" fillId="50" borderId="7" xfId="0" applyFill="1" applyBorder="1" applyAlignment="1">
      <alignment horizontal="left"/>
    </xf>
    <xf numFmtId="0" fontId="0" fillId="50" borderId="6" xfId="0" applyFill="1" applyBorder="1"/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5" fontId="7" fillId="0" borderId="0" xfId="5" applyNumberFormat="1" applyFont="1" applyAlignment="1">
      <alignment horizontal="left"/>
    </xf>
    <xf numFmtId="165" fontId="6" fillId="0" borderId="0" xfId="1" applyFont="1" applyFill="1" applyAlignment="1">
      <alignment horizontal="left"/>
    </xf>
    <xf numFmtId="165" fontId="6" fillId="0" borderId="0" xfId="1" applyFont="1" applyFill="1" applyBorder="1" applyAlignment="1">
      <alignment horizontal="left"/>
    </xf>
    <xf numFmtId="0" fontId="31" fillId="0" borderId="0" xfId="0" applyFont="1" applyAlignment="1">
      <alignment horizontal="left"/>
    </xf>
    <xf numFmtId="165" fontId="2" fillId="0" borderId="10" xfId="1" applyFont="1" applyFill="1" applyBorder="1" applyAlignment="1">
      <alignment horizontal="center"/>
    </xf>
    <xf numFmtId="0" fontId="0" fillId="44" borderId="0" xfId="0" applyFill="1"/>
    <xf numFmtId="14" fontId="0" fillId="44" borderId="30" xfId="0" applyNumberFormat="1" applyFill="1" applyBorder="1" applyAlignment="1">
      <alignment horizontal="left"/>
    </xf>
    <xf numFmtId="0" fontId="36" fillId="5" borderId="0" xfId="0" applyFont="1" applyFill="1"/>
    <xf numFmtId="0" fontId="37" fillId="5" borderId="0" xfId="0" applyFont="1" applyFill="1" applyAlignment="1">
      <alignment vertical="center" wrapText="1"/>
    </xf>
    <xf numFmtId="0" fontId="38" fillId="5" borderId="0" xfId="0" applyFont="1" applyFill="1"/>
    <xf numFmtId="0" fontId="37" fillId="5" borderId="0" xfId="0" applyFont="1" applyFill="1"/>
    <xf numFmtId="0" fontId="0" fillId="5" borderId="0" xfId="0" applyFill="1"/>
    <xf numFmtId="0" fontId="0" fillId="30" borderId="16" xfId="0" applyFill="1" applyBorder="1"/>
    <xf numFmtId="0" fontId="2" fillId="0" borderId="10" xfId="0" applyFont="1" applyBorder="1" applyAlignment="1">
      <alignment horizontal="center"/>
    </xf>
    <xf numFmtId="0" fontId="0" fillId="15" borderId="0" xfId="0" applyFill="1"/>
    <xf numFmtId="0" fontId="0" fillId="30" borderId="0" xfId="0" applyFill="1"/>
    <xf numFmtId="14" fontId="0" fillId="15" borderId="42" xfId="0" applyNumberFormat="1" applyFill="1" applyBorder="1" applyAlignment="1">
      <alignment horizontal="left"/>
    </xf>
    <xf numFmtId="165" fontId="8" fillId="0" borderId="38" xfId="1" applyFont="1" applyFill="1" applyBorder="1" applyAlignment="1">
      <alignment horizontal="center"/>
    </xf>
    <xf numFmtId="167" fontId="27" fillId="33" borderId="0" xfId="1" applyNumberFormat="1" applyFont="1" applyFill="1" applyAlignment="1">
      <alignment horizontal="center"/>
    </xf>
    <xf numFmtId="0" fontId="2" fillId="0" borderId="19" xfId="0" applyFont="1" applyBorder="1" applyAlignment="1">
      <alignment horizontal="center"/>
    </xf>
    <xf numFmtId="165" fontId="2" fillId="0" borderId="26" xfId="1" applyFont="1" applyFill="1" applyBorder="1" applyAlignment="1">
      <alignment horizontal="center"/>
    </xf>
    <xf numFmtId="165" fontId="20" fillId="0" borderId="38" xfId="0" applyNumberFormat="1" applyFont="1" applyBorder="1" applyAlignment="1">
      <alignment horizontal="center"/>
    </xf>
    <xf numFmtId="165" fontId="20" fillId="0" borderId="0" xfId="0" applyNumberFormat="1" applyFont="1" applyAlignment="1">
      <alignment horizontal="center"/>
    </xf>
    <xf numFmtId="0" fontId="0" fillId="7" borderId="0" xfId="0" applyFill="1"/>
    <xf numFmtId="0" fontId="6" fillId="36" borderId="0" xfId="0" applyFont="1" applyFill="1"/>
    <xf numFmtId="0" fontId="39" fillId="51" borderId="0" xfId="0" applyFont="1" applyFill="1"/>
    <xf numFmtId="0" fontId="39" fillId="52" borderId="0" xfId="0" applyFont="1" applyFill="1"/>
    <xf numFmtId="0" fontId="6" fillId="30" borderId="0" xfId="0" applyFont="1" applyFill="1"/>
    <xf numFmtId="0" fontId="0" fillId="45" borderId="0" xfId="0" applyFill="1"/>
    <xf numFmtId="165" fontId="0" fillId="0" borderId="0" xfId="1" applyFont="1" applyAlignment="1">
      <alignment horizontal="center"/>
    </xf>
    <xf numFmtId="165" fontId="0" fillId="0" borderId="0" xfId="1" applyFont="1" applyAlignment="1">
      <alignment vertical="center"/>
    </xf>
    <xf numFmtId="165" fontId="30" fillId="0" borderId="0" xfId="1" applyFont="1"/>
    <xf numFmtId="0" fontId="0" fillId="36" borderId="0" xfId="0" applyFill="1"/>
    <xf numFmtId="0" fontId="2" fillId="0" borderId="5" xfId="0" applyFont="1" applyBorder="1" applyAlignment="1">
      <alignment horizontal="center" vertical="center"/>
    </xf>
    <xf numFmtId="0" fontId="0" fillId="17" borderId="0" xfId="0" applyFill="1"/>
    <xf numFmtId="14" fontId="0" fillId="0" borderId="9" xfId="0" applyNumberFormat="1" applyBorder="1" applyAlignment="1">
      <alignment horizontal="center"/>
    </xf>
    <xf numFmtId="14" fontId="0" fillId="36" borderId="42" xfId="0" applyNumberFormat="1" applyFill="1" applyBorder="1" applyAlignment="1">
      <alignment horizontal="left"/>
    </xf>
    <xf numFmtId="0" fontId="39" fillId="51" borderId="0" xfId="0" applyFont="1" applyFill="1" applyAlignment="1">
      <alignment horizontal="left"/>
    </xf>
    <xf numFmtId="0" fontId="39" fillId="52" borderId="0" xfId="0" applyFont="1" applyFill="1" applyAlignment="1">
      <alignment horizontal="left"/>
    </xf>
    <xf numFmtId="14" fontId="6" fillId="30" borderId="7" xfId="0" applyNumberFormat="1" applyFont="1" applyFill="1" applyBorder="1" applyAlignment="1">
      <alignment horizontal="left"/>
    </xf>
    <xf numFmtId="14" fontId="0" fillId="45" borderId="42" xfId="0" applyNumberFormat="1" applyFill="1" applyBorder="1" applyAlignment="1">
      <alignment horizontal="left"/>
    </xf>
    <xf numFmtId="0" fontId="0" fillId="36" borderId="0" xfId="0" applyFill="1" applyAlignment="1">
      <alignment horizontal="left"/>
    </xf>
    <xf numFmtId="0" fontId="0" fillId="17" borderId="0" xfId="0" applyFill="1" applyAlignment="1">
      <alignment horizontal="left"/>
    </xf>
    <xf numFmtId="14" fontId="0" fillId="45" borderId="7" xfId="0" applyNumberFormat="1" applyFill="1" applyBorder="1" applyAlignment="1">
      <alignment horizontal="left"/>
    </xf>
    <xf numFmtId="0" fontId="2" fillId="5" borderId="0" xfId="0" applyFont="1" applyFill="1"/>
    <xf numFmtId="14" fontId="0" fillId="7" borderId="57" xfId="0" applyNumberFormat="1" applyFill="1" applyBorder="1" applyAlignment="1">
      <alignment horizontal="left" vertical="top"/>
    </xf>
    <xf numFmtId="165" fontId="12" fillId="0" borderId="38" xfId="1" applyFont="1" applyFill="1" applyBorder="1" applyAlignment="1"/>
    <xf numFmtId="0" fontId="2" fillId="0" borderId="38" xfId="0" applyFont="1" applyBorder="1" applyAlignment="1">
      <alignment horizontal="center"/>
    </xf>
    <xf numFmtId="165" fontId="2" fillId="0" borderId="38" xfId="0" applyNumberFormat="1" applyFont="1" applyBorder="1" applyAlignment="1">
      <alignment horizontal="center"/>
    </xf>
    <xf numFmtId="0" fontId="0" fillId="7" borderId="0" xfId="0" applyFill="1" applyAlignment="1">
      <alignment horizontal="left"/>
    </xf>
    <xf numFmtId="0" fontId="0" fillId="30" borderId="6" xfId="0" applyFill="1" applyBorder="1" applyAlignment="1">
      <alignment horizontal="left"/>
    </xf>
    <xf numFmtId="14" fontId="0" fillId="7" borderId="42" xfId="0" applyNumberFormat="1" applyFill="1" applyBorder="1" applyAlignment="1">
      <alignment horizontal="left"/>
    </xf>
    <xf numFmtId="14" fontId="2" fillId="0" borderId="6" xfId="0" applyNumberFormat="1" applyFont="1" applyBorder="1" applyAlignment="1">
      <alignment horizontal="left" vertical="center" wrapText="1"/>
    </xf>
    <xf numFmtId="165" fontId="2" fillId="0" borderId="5" xfId="1" applyFont="1" applyFill="1" applyBorder="1" applyAlignment="1">
      <alignment horizontal="center"/>
    </xf>
    <xf numFmtId="14" fontId="2" fillId="0" borderId="5" xfId="1" applyNumberFormat="1" applyFont="1" applyFill="1" applyBorder="1" applyAlignment="1">
      <alignment horizontal="center"/>
    </xf>
    <xf numFmtId="165" fontId="2" fillId="0" borderId="30" xfId="1" applyFont="1" applyFill="1" applyBorder="1" applyAlignment="1">
      <alignment horizontal="center" vertical="center" wrapText="1"/>
    </xf>
    <xf numFmtId="165" fontId="0" fillId="0" borderId="0" xfId="1" applyFont="1" applyFill="1" applyAlignment="1">
      <alignment vertical="center"/>
    </xf>
    <xf numFmtId="165" fontId="8" fillId="0" borderId="0" xfId="1" applyFont="1" applyFill="1" applyBorder="1" applyAlignment="1">
      <alignment horizontal="right"/>
    </xf>
    <xf numFmtId="14" fontId="2" fillId="0" borderId="15" xfId="0" applyNumberFormat="1" applyFont="1" applyBorder="1" applyAlignment="1">
      <alignment horizontal="center"/>
    </xf>
    <xf numFmtId="2" fontId="27" fillId="0" borderId="0" xfId="1" applyNumberFormat="1" applyFont="1" applyFill="1" applyBorder="1" applyAlignment="1">
      <alignment horizontal="center"/>
    </xf>
    <xf numFmtId="165" fontId="0" fillId="0" borderId="0" xfId="1" applyFont="1" applyBorder="1"/>
    <xf numFmtId="0" fontId="40" fillId="5" borderId="0" xfId="0" applyFont="1" applyFill="1"/>
    <xf numFmtId="0" fontId="0" fillId="25" borderId="0" xfId="0" applyFill="1"/>
    <xf numFmtId="0" fontId="0" fillId="30" borderId="0" xfId="0" applyFill="1" applyAlignment="1">
      <alignment horizontal="left"/>
    </xf>
    <xf numFmtId="0" fontId="0" fillId="53" borderId="0" xfId="0" applyFill="1" applyAlignment="1">
      <alignment horizontal="left"/>
    </xf>
    <xf numFmtId="14" fontId="0" fillId="36" borderId="0" xfId="0" applyNumberFormat="1" applyFill="1" applyAlignment="1">
      <alignment horizontal="left"/>
    </xf>
    <xf numFmtId="14" fontId="0" fillId="41" borderId="0" xfId="0" applyNumberFormat="1" applyFill="1" applyAlignment="1">
      <alignment horizontal="left"/>
    </xf>
    <xf numFmtId="14" fontId="0" fillId="15" borderId="0" xfId="0" applyNumberFormat="1" applyFill="1" applyAlignment="1">
      <alignment horizontal="left"/>
    </xf>
    <xf numFmtId="14" fontId="0" fillId="53" borderId="0" xfId="0" applyNumberFormat="1" applyFill="1" applyAlignment="1">
      <alignment horizontal="left"/>
    </xf>
    <xf numFmtId="165" fontId="0" fillId="41" borderId="7" xfId="1" applyFont="1" applyFill="1" applyBorder="1" applyAlignment="1">
      <alignment horizontal="left"/>
    </xf>
    <xf numFmtId="0" fontId="0" fillId="23" borderId="0" xfId="0" applyFill="1"/>
    <xf numFmtId="14" fontId="2" fillId="0" borderId="8" xfId="0" applyNumberFormat="1" applyFont="1" applyBorder="1" applyAlignment="1">
      <alignment horizontal="center" vertical="center"/>
    </xf>
    <xf numFmtId="0" fontId="0" fillId="54" borderId="0" xfId="0" applyFill="1"/>
    <xf numFmtId="0" fontId="0" fillId="55" borderId="42" xfId="0" applyFill="1" applyBorder="1" applyAlignment="1">
      <alignment horizontal="left"/>
    </xf>
    <xf numFmtId="0" fontId="0" fillId="55" borderId="0" xfId="0" applyFill="1"/>
    <xf numFmtId="0" fontId="0" fillId="23" borderId="0" xfId="0" applyFill="1" applyAlignment="1">
      <alignment horizontal="left"/>
    </xf>
    <xf numFmtId="0" fontId="0" fillId="43" borderId="0" xfId="0" applyFill="1"/>
    <xf numFmtId="165" fontId="1" fillId="0" borderId="9" xfId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165" fontId="8" fillId="0" borderId="58" xfId="1" applyFont="1" applyFill="1" applyBorder="1" applyAlignment="1">
      <alignment horizontal="center"/>
    </xf>
    <xf numFmtId="165" fontId="8" fillId="0" borderId="41" xfId="1" applyFont="1" applyBorder="1" applyAlignment="1">
      <alignment horizontal="center"/>
    </xf>
    <xf numFmtId="165" fontId="8" fillId="0" borderId="57" xfId="1" applyFont="1" applyFill="1" applyBorder="1" applyAlignment="1">
      <alignment horizontal="center"/>
    </xf>
    <xf numFmtId="14" fontId="2" fillId="0" borderId="20" xfId="0" applyNumberFormat="1" applyFont="1" applyBorder="1" applyAlignment="1">
      <alignment horizontal="center" vertical="center"/>
    </xf>
    <xf numFmtId="14" fontId="2" fillId="0" borderId="38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65" fontId="2" fillId="0" borderId="38" xfId="1" applyFont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 wrapText="1"/>
    </xf>
    <xf numFmtId="49" fontId="0" fillId="0" borderId="0" xfId="0" quotePrefix="1" applyNumberFormat="1" applyAlignment="1">
      <alignment horizontal="center" vertical="center"/>
    </xf>
    <xf numFmtId="43" fontId="32" fillId="0" borderId="0" xfId="69" applyFont="1" applyFill="1" applyBorder="1" applyAlignment="1">
      <alignment vertical="center"/>
    </xf>
    <xf numFmtId="0" fontId="11" fillId="0" borderId="17" xfId="0" applyFont="1" applyBorder="1" applyAlignment="1">
      <alignment horizontal="left" vertical="center"/>
    </xf>
    <xf numFmtId="0" fontId="28" fillId="5" borderId="0" xfId="0" applyFont="1" applyFill="1"/>
    <xf numFmtId="0" fontId="29" fillId="5" borderId="0" xfId="0" applyFont="1" applyFill="1" applyAlignment="1">
      <alignment vertical="center" wrapText="1"/>
    </xf>
    <xf numFmtId="0" fontId="0" fillId="5" borderId="0" xfId="0" applyFill="1" applyAlignment="1">
      <alignment horizontal="left"/>
    </xf>
    <xf numFmtId="0" fontId="6" fillId="5" borderId="0" xfId="0" applyFont="1" applyFill="1" applyAlignment="1">
      <alignment horizontal="left"/>
    </xf>
    <xf numFmtId="0" fontId="28" fillId="5" borderId="0" xfId="0" applyFont="1" applyFill="1" applyAlignment="1">
      <alignment horizontal="left"/>
    </xf>
    <xf numFmtId="0" fontId="0" fillId="56" borderId="0" xfId="0" applyFill="1" applyAlignment="1">
      <alignment vertical="center"/>
    </xf>
    <xf numFmtId="0" fontId="0" fillId="43" borderId="42" xfId="0" applyFill="1" applyBorder="1" applyAlignment="1">
      <alignment horizontal="left" vertical="center"/>
    </xf>
    <xf numFmtId="165" fontId="2" fillId="0" borderId="42" xfId="1" applyFont="1" applyFill="1" applyBorder="1" applyAlignment="1">
      <alignment horizontal="center"/>
    </xf>
    <xf numFmtId="0" fontId="23" fillId="0" borderId="5" xfId="0" applyFont="1" applyBorder="1" applyAlignment="1">
      <alignment vertical="center" wrapText="1"/>
    </xf>
    <xf numFmtId="0" fontId="23" fillId="0" borderId="17" xfId="0" applyFont="1" applyBorder="1" applyAlignment="1">
      <alignment vertical="center" wrapText="1"/>
    </xf>
    <xf numFmtId="169" fontId="0" fillId="0" borderId="0" xfId="1" applyNumberFormat="1" applyFont="1"/>
    <xf numFmtId="14" fontId="2" fillId="0" borderId="15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20" xfId="0" applyFont="1" applyBorder="1" applyAlignment="1">
      <alignment horizontal="center"/>
    </xf>
    <xf numFmtId="14" fontId="34" fillId="33" borderId="52" xfId="0" applyNumberFormat="1" applyFont="1" applyFill="1" applyBorder="1" applyAlignment="1">
      <alignment horizontal="center"/>
    </xf>
    <xf numFmtId="14" fontId="35" fillId="33" borderId="53" xfId="0" applyNumberFormat="1" applyFont="1" applyFill="1" applyBorder="1" applyAlignment="1">
      <alignment horizontal="center"/>
    </xf>
    <xf numFmtId="14" fontId="34" fillId="33" borderId="54" xfId="0" applyNumberFormat="1" applyFont="1" applyFill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30" fillId="0" borderId="38" xfId="0" applyNumberFormat="1" applyFont="1" applyBorder="1" applyAlignment="1">
      <alignment horizontal="center"/>
    </xf>
    <xf numFmtId="14" fontId="30" fillId="0" borderId="0" xfId="0" applyNumberFormat="1" applyFont="1" applyAlignment="1">
      <alignment horizontal="center"/>
    </xf>
    <xf numFmtId="165" fontId="9" fillId="33" borderId="0" xfId="1" applyFont="1" applyFill="1" applyBorder="1" applyAlignment="1">
      <alignment horizontal="right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165" fontId="27" fillId="33" borderId="0" xfId="1" applyFont="1" applyFill="1" applyBorder="1" applyAlignment="1">
      <alignment horizontal="right"/>
    </xf>
    <xf numFmtId="0" fontId="0" fillId="26" borderId="0" xfId="0" applyFill="1"/>
    <xf numFmtId="0" fontId="0" fillId="57" borderId="0" xfId="0" applyFill="1"/>
    <xf numFmtId="169" fontId="0" fillId="0" borderId="0" xfId="1" applyNumberFormat="1" applyFont="1" applyFill="1" applyAlignment="1">
      <alignment horizontal="center"/>
    </xf>
    <xf numFmtId="169" fontId="0" fillId="0" borderId="0" xfId="1" applyNumberFormat="1" applyFont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165" fontId="8" fillId="0" borderId="20" xfId="1" applyFont="1" applyFill="1" applyBorder="1" applyAlignment="1">
      <alignment horizontal="left"/>
    </xf>
    <xf numFmtId="165" fontId="8" fillId="0" borderId="11" xfId="1" applyFont="1" applyFill="1" applyBorder="1" applyAlignment="1">
      <alignment horizontal="left"/>
    </xf>
    <xf numFmtId="165" fontId="8" fillId="0" borderId="11" xfId="1" applyFont="1" applyFill="1" applyBorder="1" applyAlignment="1"/>
    <xf numFmtId="165" fontId="27" fillId="0" borderId="0" xfId="1" applyFont="1" applyFill="1" applyAlignment="1">
      <alignment horizontal="center"/>
    </xf>
    <xf numFmtId="167" fontId="27" fillId="0" borderId="0" xfId="0" applyNumberFormat="1" applyFont="1"/>
    <xf numFmtId="165" fontId="2" fillId="0" borderId="6" xfId="1" applyFont="1" applyFill="1" applyBorder="1" applyAlignment="1">
      <alignment horizontal="center"/>
    </xf>
    <xf numFmtId="14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65" fontId="1" fillId="0" borderId="6" xfId="1" applyFont="1" applyFill="1" applyBorder="1" applyAlignment="1">
      <alignment horizontal="center" vertical="center"/>
    </xf>
    <xf numFmtId="49" fontId="2" fillId="0" borderId="6" xfId="1" applyNumberFormat="1" applyFont="1" applyFill="1" applyBorder="1" applyAlignment="1">
      <alignment horizontal="center"/>
    </xf>
    <xf numFmtId="165" fontId="2" fillId="0" borderId="7" xfId="1" applyFont="1" applyFill="1" applyBorder="1" applyAlignment="1">
      <alignment horizontal="center" vertical="center" wrapText="1"/>
    </xf>
    <xf numFmtId="165" fontId="8" fillId="0" borderId="9" xfId="1" applyFont="1" applyFill="1" applyBorder="1" applyAlignment="1">
      <alignment horizontal="center"/>
    </xf>
    <xf numFmtId="14" fontId="2" fillId="0" borderId="6" xfId="1" applyNumberFormat="1" applyFont="1" applyFill="1" applyBorder="1" applyAlignment="1">
      <alignment horizont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9" xfId="1" applyNumberFormat="1" applyFont="1" applyFill="1" applyBorder="1" applyAlignment="1">
      <alignment horizontal="center"/>
    </xf>
    <xf numFmtId="165" fontId="2" fillId="0" borderId="10" xfId="1" applyFont="1" applyFill="1" applyBorder="1" applyAlignment="1">
      <alignment horizontal="center" vertical="center" wrapText="1"/>
    </xf>
    <xf numFmtId="0" fontId="0" fillId="58" borderId="0" xfId="0" applyFill="1"/>
    <xf numFmtId="0" fontId="0" fillId="0" borderId="15" xfId="0" applyBorder="1" applyAlignment="1">
      <alignment horizontal="center"/>
    </xf>
    <xf numFmtId="14" fontId="2" fillId="0" borderId="49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55" borderId="0" xfId="0" applyFill="1" applyAlignment="1">
      <alignment horizontal="left"/>
    </xf>
    <xf numFmtId="14" fontId="0" fillId="41" borderId="42" xfId="0" applyNumberFormat="1" applyFill="1" applyBorder="1" applyAlignment="1">
      <alignment horizontal="left"/>
    </xf>
    <xf numFmtId="14" fontId="0" fillId="7" borderId="26" xfId="0" applyNumberFormat="1" applyFill="1" applyBorder="1" applyAlignment="1">
      <alignment horizontal="left"/>
    </xf>
    <xf numFmtId="165" fontId="8" fillId="0" borderId="59" xfId="1" applyFont="1" applyFill="1" applyBorder="1" applyAlignment="1">
      <alignment horizontal="left"/>
    </xf>
    <xf numFmtId="14" fontId="0" fillId="23" borderId="7" xfId="0" applyNumberFormat="1" applyFill="1" applyBorder="1" applyAlignment="1">
      <alignment horizontal="left"/>
    </xf>
    <xf numFmtId="4" fontId="36" fillId="5" borderId="0" xfId="0" applyNumberFormat="1" applyFont="1" applyFill="1"/>
    <xf numFmtId="43" fontId="0" fillId="0" borderId="26" xfId="1" applyNumberFormat="1" applyFont="1" applyFill="1" applyBorder="1"/>
    <xf numFmtId="1" fontId="8" fillId="0" borderId="0" xfId="0" applyNumberFormat="1" applyFont="1" applyAlignment="1">
      <alignment horizontal="left"/>
    </xf>
    <xf numFmtId="0" fontId="0" fillId="58" borderId="5" xfId="0" applyFill="1" applyBorder="1" applyAlignment="1">
      <alignment horizontal="center"/>
    </xf>
    <xf numFmtId="165" fontId="0" fillId="0" borderId="6" xfId="1" applyFont="1" applyFill="1" applyBorder="1" applyAlignment="1"/>
    <xf numFmtId="14" fontId="2" fillId="0" borderId="60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165" fontId="2" fillId="0" borderId="18" xfId="1" applyFont="1" applyFill="1" applyBorder="1" applyAlignment="1">
      <alignment horizontal="center" vertical="center"/>
    </xf>
    <xf numFmtId="49" fontId="2" fillId="0" borderId="16" xfId="1" applyNumberFormat="1" applyFont="1" applyFill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165" fontId="2" fillId="0" borderId="42" xfId="1" applyFont="1" applyFill="1" applyBorder="1" applyAlignment="1">
      <alignment horizontal="center" vertical="center"/>
    </xf>
    <xf numFmtId="49" fontId="2" fillId="0" borderId="17" xfId="1" applyNumberFormat="1" applyFont="1" applyFill="1" applyBorder="1" applyAlignment="1">
      <alignment horizontal="center"/>
    </xf>
    <xf numFmtId="165" fontId="2" fillId="0" borderId="26" xfId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165" fontId="8" fillId="0" borderId="19" xfId="1" applyFont="1" applyFill="1" applyBorder="1" applyAlignment="1">
      <alignment horizontal="center"/>
    </xf>
    <xf numFmtId="165" fontId="8" fillId="0" borderId="19" xfId="1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2" fontId="8" fillId="0" borderId="19" xfId="0" applyNumberFormat="1" applyFont="1" applyBorder="1" applyAlignment="1">
      <alignment horizontal="center"/>
    </xf>
    <xf numFmtId="165" fontId="2" fillId="0" borderId="7" xfId="1" applyFont="1" applyFill="1" applyBorder="1" applyAlignment="1">
      <alignment horizontal="right"/>
    </xf>
    <xf numFmtId="165" fontId="8" fillId="0" borderId="38" xfId="1" applyFont="1" applyFill="1" applyBorder="1" applyAlignment="1">
      <alignment vertical="center"/>
    </xf>
    <xf numFmtId="165" fontId="8" fillId="0" borderId="0" xfId="1" applyFont="1" applyAlignment="1">
      <alignment horizontal="right"/>
    </xf>
    <xf numFmtId="0" fontId="2" fillId="0" borderId="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65" fontId="2" fillId="0" borderId="26" xfId="1" applyFont="1" applyFill="1" applyBorder="1" applyAlignment="1">
      <alignment horizontal="right"/>
    </xf>
    <xf numFmtId="14" fontId="0" fillId="0" borderId="16" xfId="0" applyNumberFormat="1" applyBorder="1" applyAlignment="1">
      <alignment horizontal="center"/>
    </xf>
    <xf numFmtId="14" fontId="8" fillId="0" borderId="19" xfId="1" applyNumberFormat="1" applyFont="1" applyFill="1" applyBorder="1" applyAlignment="1">
      <alignment horizontal="center" vertical="center"/>
    </xf>
    <xf numFmtId="165" fontId="8" fillId="0" borderId="19" xfId="1" applyFont="1" applyFill="1" applyBorder="1" applyAlignment="1">
      <alignment horizontal="center" vertical="center"/>
    </xf>
    <xf numFmtId="166" fontId="8" fillId="0" borderId="19" xfId="1" applyNumberFormat="1" applyFont="1" applyFill="1" applyBorder="1" applyAlignment="1">
      <alignment vertical="center" wrapText="1"/>
    </xf>
    <xf numFmtId="165" fontId="6" fillId="0" borderId="1" xfId="1" applyFont="1" applyFill="1" applyBorder="1" applyAlignment="1">
      <alignment horizontal="center" vertical="center"/>
    </xf>
    <xf numFmtId="165" fontId="8" fillId="0" borderId="27" xfId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4" fontId="8" fillId="0" borderId="19" xfId="0" applyNumberFormat="1" applyFont="1" applyBorder="1" applyAlignment="1">
      <alignment horizontal="center" vertical="center"/>
    </xf>
    <xf numFmtId="0" fontId="0" fillId="0" borderId="0" xfId="0" quotePrefix="1"/>
    <xf numFmtId="165" fontId="0" fillId="0" borderId="17" xfId="1" applyFont="1" applyFill="1" applyBorder="1" applyAlignment="1"/>
    <xf numFmtId="14" fontId="8" fillId="0" borderId="19" xfId="0" applyNumberFormat="1" applyFont="1" applyBorder="1" applyAlignment="1">
      <alignment horizontal="center"/>
    </xf>
    <xf numFmtId="165" fontId="2" fillId="0" borderId="0" xfId="1" applyFont="1" applyBorder="1"/>
    <xf numFmtId="165" fontId="8" fillId="0" borderId="19" xfId="1" applyFont="1" applyFill="1" applyBorder="1" applyAlignment="1"/>
    <xf numFmtId="165" fontId="2" fillId="0" borderId="19" xfId="1" applyFont="1" applyBorder="1"/>
    <xf numFmtId="14" fontId="2" fillId="0" borderId="19" xfId="0" applyNumberFormat="1" applyFont="1" applyBorder="1" applyAlignment="1">
      <alignment horizontal="center"/>
    </xf>
    <xf numFmtId="165" fontId="2" fillId="0" borderId="6" xfId="1" applyFont="1" applyFill="1" applyBorder="1" applyAlignment="1">
      <alignment horizontal="right"/>
    </xf>
    <xf numFmtId="165" fontId="6" fillId="0" borderId="6" xfId="1" applyFont="1" applyFill="1" applyBorder="1" applyAlignment="1">
      <alignment horizontal="center"/>
    </xf>
    <xf numFmtId="14" fontId="8" fillId="0" borderId="6" xfId="0" applyNumberFormat="1" applyFont="1" applyBorder="1" applyAlignment="1">
      <alignment horizontal="center"/>
    </xf>
    <xf numFmtId="165" fontId="1" fillId="0" borderId="6" xfId="1" applyFont="1" applyBorder="1" applyAlignment="1">
      <alignment horizontal="center" vertical="center"/>
    </xf>
    <xf numFmtId="165" fontId="8" fillId="0" borderId="39" xfId="1" applyFont="1" applyBorder="1" applyAlignment="1">
      <alignment horizontal="center"/>
    </xf>
    <xf numFmtId="165" fontId="8" fillId="0" borderId="29" xfId="1" applyFont="1" applyBorder="1" applyAlignment="1">
      <alignment horizontal="center"/>
    </xf>
    <xf numFmtId="1" fontId="8" fillId="0" borderId="29" xfId="1" applyNumberFormat="1" applyFont="1" applyBorder="1" applyAlignment="1">
      <alignment horizontal="center"/>
    </xf>
    <xf numFmtId="0" fontId="2" fillId="0" borderId="6" xfId="1" applyNumberFormat="1" applyFont="1" applyFill="1" applyBorder="1" applyAlignment="1">
      <alignment horizontal="center"/>
    </xf>
    <xf numFmtId="0" fontId="2" fillId="0" borderId="10" xfId="5" applyFont="1" applyBorder="1" applyAlignment="1">
      <alignment horizontal="center"/>
    </xf>
    <xf numFmtId="2" fontId="0" fillId="0" borderId="15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165" fontId="2" fillId="0" borderId="16" xfId="1" applyFon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43" fontId="0" fillId="0" borderId="6" xfId="1" applyNumberFormat="1" applyFont="1" applyFill="1" applyBorder="1"/>
    <xf numFmtId="14" fontId="2" fillId="0" borderId="23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43" fontId="0" fillId="0" borderId="22" xfId="1" applyNumberFormat="1" applyFont="1" applyFill="1" applyBorder="1"/>
    <xf numFmtId="164" fontId="0" fillId="0" borderId="0" xfId="0" applyNumberFormat="1" applyAlignment="1">
      <alignment horizontal="left"/>
    </xf>
    <xf numFmtId="165" fontId="2" fillId="0" borderId="61" xfId="1" applyFont="1" applyFill="1" applyBorder="1" applyAlignment="1">
      <alignment horizontal="center"/>
    </xf>
    <xf numFmtId="165" fontId="39" fillId="0" borderId="0" xfId="1" applyFont="1" applyFill="1" applyBorder="1" applyAlignment="1">
      <alignment horizontal="right"/>
    </xf>
    <xf numFmtId="165" fontId="2" fillId="0" borderId="32" xfId="1" applyFont="1" applyFill="1" applyBorder="1" applyAlignment="1">
      <alignment horizontal="center"/>
    </xf>
    <xf numFmtId="165" fontId="2" fillId="0" borderId="29" xfId="1" applyFont="1" applyFill="1" applyBorder="1" applyAlignment="1">
      <alignment horizontal="center"/>
    </xf>
    <xf numFmtId="0" fontId="2" fillId="0" borderId="56" xfId="0" applyFont="1" applyBorder="1" applyAlignment="1">
      <alignment horizontal="center"/>
    </xf>
    <xf numFmtId="165" fontId="20" fillId="0" borderId="20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43" fontId="2" fillId="0" borderId="6" xfId="0" applyNumberFormat="1" applyFont="1" applyBorder="1" applyAlignment="1">
      <alignment horizontal="center"/>
    </xf>
    <xf numFmtId="167" fontId="8" fillId="0" borderId="6" xfId="0" applyNumberFormat="1" applyFont="1" applyBorder="1" applyAlignment="1">
      <alignment horizontal="center"/>
    </xf>
    <xf numFmtId="43" fontId="20" fillId="0" borderId="6" xfId="0" applyNumberFormat="1" applyFont="1" applyBorder="1" applyAlignment="1">
      <alignment horizontal="center"/>
    </xf>
    <xf numFmtId="167" fontId="31" fillId="0" borderId="6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right"/>
    </xf>
    <xf numFmtId="0" fontId="8" fillId="0" borderId="4" xfId="0" applyFont="1" applyBorder="1" applyAlignment="1">
      <alignment horizontal="center" vertical="center" wrapText="1"/>
    </xf>
    <xf numFmtId="4" fontId="0" fillId="36" borderId="0" xfId="0" applyNumberFormat="1" applyFill="1" applyAlignment="1">
      <alignment horizontal="right"/>
    </xf>
    <xf numFmtId="14" fontId="2" fillId="36" borderId="17" xfId="0" applyNumberFormat="1" applyFont="1" applyFill="1" applyBorder="1" applyAlignment="1">
      <alignment horizontal="center"/>
    </xf>
    <xf numFmtId="165" fontId="2" fillId="36" borderId="6" xfId="1" applyFont="1" applyFill="1" applyBorder="1" applyAlignment="1">
      <alignment horizontal="right"/>
    </xf>
    <xf numFmtId="2" fontId="2" fillId="36" borderId="6" xfId="69" applyNumberFormat="1" applyFont="1" applyFill="1" applyBorder="1" applyAlignment="1">
      <alignment horizontal="center"/>
    </xf>
    <xf numFmtId="14" fontId="0" fillId="36" borderId="6" xfId="0" applyNumberFormat="1" applyFill="1" applyBorder="1" applyAlignment="1">
      <alignment horizontal="center"/>
    </xf>
    <xf numFmtId="14" fontId="1" fillId="41" borderId="47" xfId="1" applyNumberFormat="1" applyFont="1" applyFill="1" applyBorder="1" applyAlignment="1">
      <alignment horizontal="center" vertical="center"/>
    </xf>
    <xf numFmtId="165" fontId="1" fillId="41" borderId="16" xfId="1" applyFont="1" applyFill="1" applyBorder="1" applyAlignment="1">
      <alignment horizontal="center" vertical="center"/>
    </xf>
    <xf numFmtId="0" fontId="23" fillId="41" borderId="16" xfId="0" applyFont="1" applyFill="1" applyBorder="1" applyAlignment="1">
      <alignment horizontal="center" vertical="center" wrapText="1"/>
    </xf>
    <xf numFmtId="165" fontId="1" fillId="41" borderId="16" xfId="1" applyFont="1" applyFill="1" applyBorder="1" applyAlignment="1">
      <alignment horizontal="center"/>
    </xf>
    <xf numFmtId="165" fontId="1" fillId="41" borderId="16" xfId="1" applyFont="1" applyFill="1" applyBorder="1" applyAlignment="1">
      <alignment horizontal="right"/>
    </xf>
    <xf numFmtId="14" fontId="0" fillId="41" borderId="16" xfId="0" applyNumberFormat="1" applyFill="1" applyBorder="1" applyAlignment="1">
      <alignment horizontal="center"/>
    </xf>
    <xf numFmtId="14" fontId="2" fillId="41" borderId="0" xfId="0" applyNumberFormat="1" applyFont="1" applyFill="1" applyAlignment="1">
      <alignment horizontal="center"/>
    </xf>
    <xf numFmtId="0" fontId="0" fillId="41" borderId="7" xfId="0" applyFill="1" applyBorder="1" applyAlignment="1">
      <alignment horizontal="center" vertical="center"/>
    </xf>
    <xf numFmtId="2" fontId="2" fillId="0" borderId="17" xfId="1" applyNumberFormat="1" applyFont="1" applyFill="1" applyBorder="1" applyAlignment="1">
      <alignment horizontal="center"/>
    </xf>
    <xf numFmtId="165" fontId="1" fillId="21" borderId="16" xfId="1" applyFont="1" applyFill="1" applyBorder="1" applyAlignment="1">
      <alignment horizontal="right"/>
    </xf>
    <xf numFmtId="0" fontId="0" fillId="21" borderId="6" xfId="0" applyFill="1" applyBorder="1" applyAlignment="1">
      <alignment horizontal="center"/>
    </xf>
    <xf numFmtId="14" fontId="0" fillId="21" borderId="16" xfId="0" applyNumberFormat="1" applyFill="1" applyBorder="1" applyAlignment="1">
      <alignment horizontal="center"/>
    </xf>
    <xf numFmtId="165" fontId="2" fillId="21" borderId="9" xfId="1" applyFont="1" applyFill="1" applyBorder="1"/>
    <xf numFmtId="14" fontId="2" fillId="21" borderId="9" xfId="0" applyNumberFormat="1" applyFont="1" applyFill="1" applyBorder="1" applyAlignment="1">
      <alignment horizontal="center"/>
    </xf>
    <xf numFmtId="14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165" fontId="2" fillId="0" borderId="6" xfId="1" applyFont="1" applyFill="1" applyBorder="1" applyAlignment="1">
      <alignment vertical="center"/>
    </xf>
    <xf numFmtId="165" fontId="1" fillId="59" borderId="16" xfId="1" applyFont="1" applyFill="1" applyBorder="1" applyAlignment="1">
      <alignment horizontal="right"/>
    </xf>
    <xf numFmtId="14" fontId="0" fillId="59" borderId="16" xfId="0" applyNumberFormat="1" applyFill="1" applyBorder="1" applyAlignment="1">
      <alignment horizontal="center"/>
    </xf>
    <xf numFmtId="14" fontId="2" fillId="59" borderId="0" xfId="0" applyNumberFormat="1" applyFont="1" applyFill="1" applyAlignment="1">
      <alignment horizontal="center"/>
    </xf>
    <xf numFmtId="0" fontId="0" fillId="59" borderId="6" xfId="0" applyFill="1" applyBorder="1" applyAlignment="1">
      <alignment horizontal="center"/>
    </xf>
    <xf numFmtId="14" fontId="1" fillId="21" borderId="47" xfId="1" applyNumberFormat="1" applyFont="1" applyFill="1" applyBorder="1" applyAlignment="1">
      <alignment horizontal="center" vertical="center"/>
    </xf>
    <xf numFmtId="14" fontId="1" fillId="21" borderId="14" xfId="1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5" fontId="6" fillId="0" borderId="16" xfId="1" applyFont="1" applyBorder="1" applyAlignment="1">
      <alignment horizontal="center" vertical="center"/>
    </xf>
    <xf numFmtId="165" fontId="6" fillId="0" borderId="18" xfId="1" applyFont="1" applyBorder="1" applyAlignment="1">
      <alignment horizontal="center" vertical="center"/>
    </xf>
    <xf numFmtId="165" fontId="6" fillId="0" borderId="17" xfId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165" fontId="8" fillId="0" borderId="20" xfId="1" applyFont="1" applyFill="1" applyBorder="1" applyAlignment="1">
      <alignment horizontal="left"/>
    </xf>
    <xf numFmtId="165" fontId="8" fillId="0" borderId="11" xfId="1" applyFont="1" applyFill="1" applyBorder="1" applyAlignment="1">
      <alignment horizontal="left"/>
    </xf>
    <xf numFmtId="165" fontId="8" fillId="0" borderId="35" xfId="1" applyFont="1" applyFill="1" applyBorder="1" applyAlignment="1">
      <alignment horizontal="left"/>
    </xf>
    <xf numFmtId="14" fontId="2" fillId="0" borderId="32" xfId="0" applyNumberFormat="1" applyFont="1" applyBorder="1" applyAlignment="1">
      <alignment horizontal="center" vertical="center"/>
    </xf>
    <xf numFmtId="14" fontId="2" fillId="0" borderId="5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165" fontId="20" fillId="0" borderId="20" xfId="1" applyFont="1" applyBorder="1" applyAlignment="1">
      <alignment horizontal="center"/>
    </xf>
    <xf numFmtId="165" fontId="20" fillId="0" borderId="35" xfId="1" applyFont="1" applyBorder="1" applyAlignment="1">
      <alignment horizontal="center"/>
    </xf>
    <xf numFmtId="165" fontId="2" fillId="0" borderId="5" xfId="1" applyFont="1" applyFill="1" applyBorder="1" applyAlignment="1">
      <alignment horizontal="center"/>
    </xf>
    <xf numFmtId="165" fontId="2" fillId="0" borderId="9" xfId="1" applyFont="1" applyBorder="1" applyAlignment="1">
      <alignment horizontal="center"/>
    </xf>
    <xf numFmtId="165" fontId="1" fillId="21" borderId="16" xfId="1" applyFont="1" applyFill="1" applyBorder="1" applyAlignment="1">
      <alignment horizontal="center"/>
    </xf>
    <xf numFmtId="165" fontId="1" fillId="21" borderId="13" xfId="1" applyFont="1" applyFill="1" applyBorder="1" applyAlignment="1">
      <alignment horizontal="center"/>
    </xf>
    <xf numFmtId="165" fontId="2" fillId="0" borderId="29" xfId="1" applyFont="1" applyBorder="1" applyAlignment="1">
      <alignment horizontal="center"/>
    </xf>
    <xf numFmtId="165" fontId="2" fillId="0" borderId="48" xfId="1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165" fontId="8" fillId="0" borderId="14" xfId="1" applyFont="1" applyFill="1" applyBorder="1" applyAlignment="1">
      <alignment horizontal="left"/>
    </xf>
    <xf numFmtId="165" fontId="8" fillId="0" borderId="13" xfId="1" applyFont="1" applyFill="1" applyBorder="1" applyAlignment="1">
      <alignment horizontal="left"/>
    </xf>
    <xf numFmtId="165" fontId="8" fillId="0" borderId="12" xfId="1" applyFont="1" applyFill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6" fillId="0" borderId="3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165" fontId="1" fillId="59" borderId="16" xfId="1" applyFont="1" applyFill="1" applyBorder="1" applyAlignment="1">
      <alignment horizontal="center"/>
    </xf>
    <xf numFmtId="165" fontId="1" fillId="59" borderId="18" xfId="1" applyFont="1" applyFill="1" applyBorder="1" applyAlignment="1">
      <alignment horizontal="center"/>
    </xf>
    <xf numFmtId="165" fontId="1" fillId="59" borderId="17" xfId="1" applyFont="1" applyFill="1" applyBorder="1" applyAlignment="1">
      <alignment horizontal="center"/>
    </xf>
    <xf numFmtId="165" fontId="1" fillId="36" borderId="58" xfId="1" applyFont="1" applyFill="1" applyBorder="1" applyAlignment="1">
      <alignment horizontal="center"/>
    </xf>
    <xf numFmtId="165" fontId="1" fillId="36" borderId="18" xfId="1" applyFont="1" applyFill="1" applyBorder="1" applyAlignment="1">
      <alignment horizontal="center"/>
    </xf>
    <xf numFmtId="165" fontId="1" fillId="36" borderId="17" xfId="1" applyFont="1" applyFill="1" applyBorder="1" applyAlignment="1">
      <alignment horizontal="center"/>
    </xf>
    <xf numFmtId="0" fontId="23" fillId="36" borderId="58" xfId="0" applyFont="1" applyFill="1" applyBorder="1" applyAlignment="1">
      <alignment horizontal="center" vertical="center" wrapText="1"/>
    </xf>
    <xf numFmtId="0" fontId="23" fillId="36" borderId="18" xfId="0" applyFont="1" applyFill="1" applyBorder="1" applyAlignment="1">
      <alignment horizontal="center" vertical="center" wrapText="1"/>
    </xf>
    <xf numFmtId="0" fontId="23" fillId="36" borderId="17" xfId="0" applyFont="1" applyFill="1" applyBorder="1" applyAlignment="1">
      <alignment horizontal="center" vertical="center" wrapText="1"/>
    </xf>
    <xf numFmtId="165" fontId="0" fillId="0" borderId="29" xfId="1" applyFont="1" applyFill="1" applyBorder="1" applyAlignment="1">
      <alignment horizontal="center"/>
    </xf>
    <xf numFmtId="165" fontId="0" fillId="0" borderId="48" xfId="1" applyFont="1" applyFill="1" applyBorder="1" applyAlignment="1">
      <alignment horizontal="center"/>
    </xf>
    <xf numFmtId="165" fontId="6" fillId="0" borderId="39" xfId="1" applyFont="1" applyBorder="1" applyAlignment="1">
      <alignment horizontal="center"/>
    </xf>
    <xf numFmtId="165" fontId="6" fillId="0" borderId="34" xfId="1" applyFont="1" applyBorder="1" applyAlignment="1">
      <alignment horizontal="center"/>
    </xf>
    <xf numFmtId="165" fontId="0" fillId="0" borderId="32" xfId="1" applyFont="1" applyFill="1" applyBorder="1" applyAlignment="1">
      <alignment horizontal="center"/>
    </xf>
    <xf numFmtId="165" fontId="0" fillId="0" borderId="51" xfId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65" fontId="2" fillId="0" borderId="6" xfId="1" applyFont="1" applyBorder="1" applyAlignment="1">
      <alignment horizontal="center"/>
    </xf>
    <xf numFmtId="165" fontId="2" fillId="0" borderId="5" xfId="1" applyFont="1" applyBorder="1" applyAlignment="1">
      <alignment horizontal="center"/>
    </xf>
    <xf numFmtId="14" fontId="0" fillId="36" borderId="16" xfId="0" applyNumberFormat="1" applyFill="1" applyBorder="1" applyAlignment="1">
      <alignment horizontal="center" vertical="center"/>
    </xf>
    <xf numFmtId="14" fontId="0" fillId="36" borderId="18" xfId="0" applyNumberFormat="1" applyFill="1" applyBorder="1" applyAlignment="1">
      <alignment horizontal="center" vertical="center"/>
    </xf>
    <xf numFmtId="14" fontId="0" fillId="36" borderId="17" xfId="0" applyNumberFormat="1" applyFill="1" applyBorder="1" applyAlignment="1">
      <alignment horizontal="center" vertical="center"/>
    </xf>
    <xf numFmtId="0" fontId="0" fillId="59" borderId="22" xfId="0" applyFill="1" applyBorder="1" applyAlignment="1">
      <alignment horizontal="center" vertical="center"/>
    </xf>
    <xf numFmtId="0" fontId="0" fillId="59" borderId="63" xfId="0" applyFill="1" applyBorder="1" applyAlignment="1">
      <alignment horizontal="center" vertical="center"/>
    </xf>
    <xf numFmtId="0" fontId="0" fillId="59" borderId="62" xfId="0" applyFill="1" applyBorder="1" applyAlignment="1">
      <alignment horizontal="center" vertical="center"/>
    </xf>
    <xf numFmtId="0" fontId="0" fillId="21" borderId="22" xfId="0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65" fontId="1" fillId="36" borderId="58" xfId="1" applyFont="1" applyFill="1" applyBorder="1" applyAlignment="1">
      <alignment horizontal="center" vertical="center"/>
    </xf>
    <xf numFmtId="165" fontId="1" fillId="36" borderId="18" xfId="1" applyFont="1" applyFill="1" applyBorder="1" applyAlignment="1">
      <alignment horizontal="center" vertical="center"/>
    </xf>
    <xf numFmtId="165" fontId="1" fillId="36" borderId="17" xfId="1" applyFont="1" applyFill="1" applyBorder="1" applyAlignment="1">
      <alignment horizontal="center" vertical="center"/>
    </xf>
    <xf numFmtId="14" fontId="1" fillId="36" borderId="40" xfId="1" applyNumberFormat="1" applyFont="1" applyFill="1" applyBorder="1" applyAlignment="1">
      <alignment horizontal="center" vertical="center"/>
    </xf>
    <xf numFmtId="14" fontId="1" fillId="36" borderId="64" xfId="1" applyNumberFormat="1" applyFont="1" applyFill="1" applyBorder="1" applyAlignment="1">
      <alignment horizontal="center" vertical="center"/>
    </xf>
    <xf numFmtId="14" fontId="1" fillId="36" borderId="24" xfId="1" applyNumberFormat="1" applyFont="1" applyFill="1" applyBorder="1" applyAlignment="1">
      <alignment horizontal="center" vertical="center"/>
    </xf>
    <xf numFmtId="0" fontId="23" fillId="59" borderId="16" xfId="0" applyFont="1" applyFill="1" applyBorder="1" applyAlignment="1">
      <alignment horizontal="center" vertical="center" wrapText="1"/>
    </xf>
    <xf numFmtId="0" fontId="23" fillId="59" borderId="18" xfId="0" applyFont="1" applyFill="1" applyBorder="1" applyAlignment="1">
      <alignment horizontal="center" vertical="center" wrapText="1"/>
    </xf>
    <xf numFmtId="0" fontId="23" fillId="59" borderId="17" xfId="0" applyFont="1" applyFill="1" applyBorder="1" applyAlignment="1">
      <alignment horizontal="center" vertical="center" wrapText="1"/>
    </xf>
    <xf numFmtId="165" fontId="1" fillId="59" borderId="16" xfId="1" applyFont="1" applyFill="1" applyBorder="1" applyAlignment="1">
      <alignment horizontal="center" vertical="center"/>
    </xf>
    <xf numFmtId="165" fontId="1" fillId="59" borderId="18" xfId="1" applyFont="1" applyFill="1" applyBorder="1" applyAlignment="1">
      <alignment horizontal="center" vertical="center"/>
    </xf>
    <xf numFmtId="165" fontId="1" fillId="59" borderId="17" xfId="1" applyFont="1" applyFill="1" applyBorder="1" applyAlignment="1">
      <alignment horizontal="center" vertical="center"/>
    </xf>
    <xf numFmtId="14" fontId="1" fillId="59" borderId="47" xfId="1" applyNumberFormat="1" applyFont="1" applyFill="1" applyBorder="1" applyAlignment="1">
      <alignment horizontal="center" vertical="center"/>
    </xf>
    <xf numFmtId="14" fontId="1" fillId="59" borderId="60" xfId="1" applyNumberFormat="1" applyFont="1" applyFill="1" applyBorder="1" applyAlignment="1">
      <alignment horizontal="center" vertical="center"/>
    </xf>
    <xf numFmtId="14" fontId="1" fillId="59" borderId="49" xfId="1" applyNumberFormat="1" applyFont="1" applyFill="1" applyBorder="1" applyAlignment="1">
      <alignment horizontal="center" vertical="center"/>
    </xf>
    <xf numFmtId="0" fontId="23" fillId="21" borderId="16" xfId="0" applyFont="1" applyFill="1" applyBorder="1" applyAlignment="1">
      <alignment horizontal="center" vertical="center" wrapText="1"/>
    </xf>
    <xf numFmtId="0" fontId="23" fillId="21" borderId="13" xfId="0" applyFont="1" applyFill="1" applyBorder="1" applyAlignment="1">
      <alignment horizontal="center" vertical="center" wrapText="1"/>
    </xf>
    <xf numFmtId="165" fontId="1" fillId="21" borderId="16" xfId="1" applyFont="1" applyFill="1" applyBorder="1" applyAlignment="1">
      <alignment horizontal="center" vertical="center"/>
    </xf>
    <xf numFmtId="165" fontId="1" fillId="21" borderId="13" xfId="1" applyFont="1" applyFill="1" applyBorder="1" applyAlignment="1">
      <alignment horizontal="center" vertical="center"/>
    </xf>
    <xf numFmtId="0" fontId="0" fillId="57" borderId="0" xfId="0" applyFill="1" applyAlignment="1">
      <alignment vertical="center"/>
    </xf>
    <xf numFmtId="0" fontId="0" fillId="56" borderId="0" xfId="0" applyFill="1" applyAlignment="1">
      <alignment horizontal="left" vertical="center"/>
    </xf>
    <xf numFmtId="0" fontId="13" fillId="0" borderId="6" xfId="0" applyFont="1" applyBorder="1" applyAlignment="1">
      <alignment horizontal="center"/>
    </xf>
    <xf numFmtId="0" fontId="11" fillId="14" borderId="6" xfId="0" applyFont="1" applyFill="1" applyBorder="1" applyAlignment="1">
      <alignment horizontal="left" vertical="center" wrapText="1"/>
    </xf>
    <xf numFmtId="0" fontId="0" fillId="28" borderId="6" xfId="0" applyFill="1" applyBorder="1" applyAlignment="1">
      <alignment horizontal="left" vertical="center"/>
    </xf>
    <xf numFmtId="0" fontId="0" fillId="24" borderId="23" xfId="0" applyFill="1" applyBorder="1" applyAlignment="1">
      <alignment horizontal="left" vertical="center"/>
    </xf>
    <xf numFmtId="0" fontId="0" fillId="24" borderId="24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6" xfId="0" applyFont="1" applyBorder="1" applyAlignment="1">
      <alignment horizontal="left" wrapText="1"/>
    </xf>
  </cellXfs>
  <cellStyles count="1006">
    <cellStyle name="custom_style" xfId="57" xr:uid="{00000000-0005-0000-0000-000000000000}"/>
    <cellStyle name="Hipervínculo" xfId="2" builtinId="8"/>
    <cellStyle name="Hipervínculo 2" xfId="3" xr:uid="{00000000-0005-0000-0000-000002000000}"/>
    <cellStyle name="Millares" xfId="1" builtinId="3"/>
    <cellStyle name="Millares 10" xfId="13" xr:uid="{00000000-0005-0000-0000-000004000000}"/>
    <cellStyle name="Millares 10 2" xfId="69" xr:uid="{84A4E05D-BDAD-482D-899B-336B5D80DADC}"/>
    <cellStyle name="Millares 10 2 2" xfId="128" xr:uid="{B3EEEE13-7EDB-4A9F-8588-05E065450B25}"/>
    <cellStyle name="Millares 10 2 2 2" xfId="246" xr:uid="{518F175A-A909-4EF7-9FAC-F26A5E6CC347}"/>
    <cellStyle name="Millares 10 2 2 2 2" xfId="482" xr:uid="{D12D9378-BEF5-4853-9D21-637D3E47B5E3}"/>
    <cellStyle name="Millares 10 2 2 2 2 2" xfId="954" xr:uid="{8EEEE760-5855-49C5-B292-3B9EFEE7FF1B}"/>
    <cellStyle name="Millares 10 2 2 2 3" xfId="718" xr:uid="{57790CFC-3241-45F6-82AA-96F797002561}"/>
    <cellStyle name="Millares 10 2 2 3" xfId="364" xr:uid="{F321886C-C7D6-4AB1-9170-5AE20935F52A}"/>
    <cellStyle name="Millares 10 2 2 3 2" xfId="836" xr:uid="{CEE6837B-C8AE-4299-974F-D3EEA8368C31}"/>
    <cellStyle name="Millares 10 2 2 4" xfId="600" xr:uid="{B68DDC3B-F3D2-46B4-999C-1A9F77A14AC7}"/>
    <cellStyle name="Millares 10 2 3" xfId="187" xr:uid="{C883DC92-4FF1-4C11-BF82-17EF94D935D7}"/>
    <cellStyle name="Millares 10 2 3 2" xfId="423" xr:uid="{53EA6057-E9E7-40CE-A497-7F38F85A5581}"/>
    <cellStyle name="Millares 10 2 3 2 2" xfId="895" xr:uid="{BBF8DE57-DD2B-4C40-93EA-417623C7E5B3}"/>
    <cellStyle name="Millares 10 2 3 3" xfId="659" xr:uid="{7932A0FE-1F6A-43A1-92F3-2FF16CEDADF9}"/>
    <cellStyle name="Millares 10 2 4" xfId="305" xr:uid="{6981286C-B918-43A7-93CB-FAF43FD6B3D2}"/>
    <cellStyle name="Millares 10 2 4 2" xfId="777" xr:uid="{FE45FA06-5BDE-4279-BC3E-6D4055FA5B8D}"/>
    <cellStyle name="Millares 10 2 5" xfId="541" xr:uid="{A75CC5F7-58AF-414E-821F-B4F5FF23AFF3}"/>
    <cellStyle name="Millares 11" xfId="14" xr:uid="{00000000-0005-0000-0000-000005000000}"/>
    <cellStyle name="Millares 11 2" xfId="70" xr:uid="{A1C4AA9C-B054-44CC-9944-2871B887F565}"/>
    <cellStyle name="Millares 11 2 2" xfId="129" xr:uid="{3F1694E4-423E-40C2-A7B8-FEF566504EAD}"/>
    <cellStyle name="Millares 11 2 2 2" xfId="247" xr:uid="{1E8ED129-2E5A-419E-B84F-B9C21AC9F204}"/>
    <cellStyle name="Millares 11 2 2 2 2" xfId="483" xr:uid="{68F478CC-5D67-4196-8A2A-0C06D34594B7}"/>
    <cellStyle name="Millares 11 2 2 2 2 2" xfId="955" xr:uid="{29F338DA-452E-49CC-9635-DBB6BF212EB2}"/>
    <cellStyle name="Millares 11 2 2 2 3" xfId="719" xr:uid="{3D358209-AF4F-42CE-9FE6-89F54E017318}"/>
    <cellStyle name="Millares 11 2 2 3" xfId="365" xr:uid="{45C2D04C-7AA6-45EA-8F49-81B5153C3BD5}"/>
    <cellStyle name="Millares 11 2 2 3 2" xfId="837" xr:uid="{5B476B6F-36EE-4145-9676-A5928011E0A9}"/>
    <cellStyle name="Millares 11 2 2 4" xfId="601" xr:uid="{516CBBBA-6871-4016-90CE-2594ABF515E4}"/>
    <cellStyle name="Millares 11 2 3" xfId="188" xr:uid="{A46529A5-7976-4BB0-AF58-EC637626D248}"/>
    <cellStyle name="Millares 11 2 3 2" xfId="424" xr:uid="{515A00F1-154D-48F1-A65B-2404E5BAE79D}"/>
    <cellStyle name="Millares 11 2 3 2 2" xfId="896" xr:uid="{ECE32090-62FF-4340-B802-2608473D5F23}"/>
    <cellStyle name="Millares 11 2 3 3" xfId="660" xr:uid="{78D47967-54F5-4B13-B8EB-785980133FF3}"/>
    <cellStyle name="Millares 11 2 4" xfId="306" xr:uid="{DCAA27D1-B148-457A-959F-D1F6DBFF922A}"/>
    <cellStyle name="Millares 11 2 4 2" xfId="778" xr:uid="{8AE4A583-4BD1-422D-A869-1A8D19D58832}"/>
    <cellStyle name="Millares 11 2 5" xfId="542" xr:uid="{D8212A7B-C4D3-467B-A6AF-F7825B68BF15}"/>
    <cellStyle name="Millares 12" xfId="15" xr:uid="{00000000-0005-0000-0000-000006000000}"/>
    <cellStyle name="Millares 12 2" xfId="71" xr:uid="{66C3A388-8AFA-416B-8ABD-CE4613664B41}"/>
    <cellStyle name="Millares 12 2 2" xfId="130" xr:uid="{AFEB2F34-8F80-4ADB-8DA0-8D292A6D735A}"/>
    <cellStyle name="Millares 12 2 2 2" xfId="248" xr:uid="{012661B8-662D-428E-BB43-2B65DCC629A2}"/>
    <cellStyle name="Millares 12 2 2 2 2" xfId="484" xr:uid="{8C5DBB24-E7CA-46CF-8EC4-085D348998F4}"/>
    <cellStyle name="Millares 12 2 2 2 2 2" xfId="956" xr:uid="{D3EBDEF2-521B-4997-B98A-A98247AACEAB}"/>
    <cellStyle name="Millares 12 2 2 2 3" xfId="720" xr:uid="{48A29A5B-385A-4485-ACAB-5E2971B42BAC}"/>
    <cellStyle name="Millares 12 2 2 3" xfId="366" xr:uid="{A26EE0E3-8E16-431D-BFB9-B39D91ED9A46}"/>
    <cellStyle name="Millares 12 2 2 3 2" xfId="838" xr:uid="{6DAD6B28-16BE-4B63-BE4F-0C591FB1C2AF}"/>
    <cellStyle name="Millares 12 2 2 4" xfId="602" xr:uid="{0B328051-91B2-46D9-A2E1-C50A30DFFDED}"/>
    <cellStyle name="Millares 12 2 3" xfId="189" xr:uid="{22CD7FFC-FEEF-4A0F-B193-40EEC3286241}"/>
    <cellStyle name="Millares 12 2 3 2" xfId="425" xr:uid="{DF5D6AE1-A606-4DBC-8D3C-7B6D38BA094C}"/>
    <cellStyle name="Millares 12 2 3 2 2" xfId="897" xr:uid="{88C9B758-32EC-4E27-AF84-B06EB42DFAB5}"/>
    <cellStyle name="Millares 12 2 3 3" xfId="661" xr:uid="{5C39AE05-EB4A-4264-B05E-A5A19B885B8A}"/>
    <cellStyle name="Millares 12 2 4" xfId="307" xr:uid="{A27ECED7-EF27-4DC0-BD5B-F2FD33D2B97D}"/>
    <cellStyle name="Millares 12 2 4 2" xfId="779" xr:uid="{65E93E83-50CC-49AB-AEEB-E15E954116D4}"/>
    <cellStyle name="Millares 12 2 5" xfId="543" xr:uid="{BA7E0863-84C0-4659-A06E-39C01C63001B}"/>
    <cellStyle name="Millares 13" xfId="16" xr:uid="{00000000-0005-0000-0000-000007000000}"/>
    <cellStyle name="Millares 13 2" xfId="72" xr:uid="{3522BA21-2943-4ADF-B921-775DB8C40A8F}"/>
    <cellStyle name="Millares 13 2 2" xfId="131" xr:uid="{4D0F4B03-7759-4387-93A7-F9D1406EDF93}"/>
    <cellStyle name="Millares 13 2 2 2" xfId="249" xr:uid="{2B5CED76-C891-44BF-9C58-23549B314BD1}"/>
    <cellStyle name="Millares 13 2 2 2 2" xfId="485" xr:uid="{273727A7-5109-46A3-B945-BB735F1F8E2B}"/>
    <cellStyle name="Millares 13 2 2 2 2 2" xfId="957" xr:uid="{95D22AEB-D14B-487F-ADEC-C9AB6C4DA9E9}"/>
    <cellStyle name="Millares 13 2 2 2 3" xfId="721" xr:uid="{105371D1-8C91-4030-9C9B-C669EAD9C1F2}"/>
    <cellStyle name="Millares 13 2 2 3" xfId="367" xr:uid="{02691A47-6150-448C-8798-231A31D1B4E9}"/>
    <cellStyle name="Millares 13 2 2 3 2" xfId="839" xr:uid="{2A111AC8-4A74-4379-A11C-EA210129477A}"/>
    <cellStyle name="Millares 13 2 2 4" xfId="603" xr:uid="{16327920-6217-44E0-82E7-6DFA3A8E56BA}"/>
    <cellStyle name="Millares 13 2 3" xfId="190" xr:uid="{598CBD91-E22E-4438-B36A-E729EF6049F8}"/>
    <cellStyle name="Millares 13 2 3 2" xfId="426" xr:uid="{3D28FA5C-334D-4B31-87F4-E46A7D5CC9ED}"/>
    <cellStyle name="Millares 13 2 3 2 2" xfId="898" xr:uid="{1554BFBE-5FCE-4365-9969-9DAEDBD53DC6}"/>
    <cellStyle name="Millares 13 2 3 3" xfId="662" xr:uid="{8E09F88A-4BD2-4097-82AE-AB467292A9BD}"/>
    <cellStyle name="Millares 13 2 4" xfId="308" xr:uid="{9CB4F1A8-23A8-4CB7-9DAB-B2A49A5604DB}"/>
    <cellStyle name="Millares 13 2 4 2" xfId="780" xr:uid="{031FF898-18CF-45C9-8D41-2FA9A68CC887}"/>
    <cellStyle name="Millares 13 2 5" xfId="544" xr:uid="{4089D104-F14F-4E38-BD05-311A67FC1136}"/>
    <cellStyle name="Millares 14" xfId="17" xr:uid="{00000000-0005-0000-0000-000008000000}"/>
    <cellStyle name="Millares 14 2" xfId="73" xr:uid="{89AED0C2-6275-434C-BC62-ED47B8326350}"/>
    <cellStyle name="Millares 14 2 2" xfId="132" xr:uid="{4A16819C-C984-42E5-AA3C-86D7A99E7981}"/>
    <cellStyle name="Millares 14 2 2 2" xfId="250" xr:uid="{12BB01A6-627F-4B82-BCB2-C7D82A8001B2}"/>
    <cellStyle name="Millares 14 2 2 2 2" xfId="486" xr:uid="{BD904449-440E-4A62-B18E-489FEC2CD34E}"/>
    <cellStyle name="Millares 14 2 2 2 2 2" xfId="958" xr:uid="{CFEA3CB4-8BA5-499A-8546-7A7E8AF81AEA}"/>
    <cellStyle name="Millares 14 2 2 2 3" xfId="722" xr:uid="{7ADC8F1D-6039-490C-A926-B80A08932E16}"/>
    <cellStyle name="Millares 14 2 2 3" xfId="368" xr:uid="{BFFA0AFC-3CE7-47C0-8E91-D9C005C2C654}"/>
    <cellStyle name="Millares 14 2 2 3 2" xfId="840" xr:uid="{788BDF03-6A80-4120-9CF7-5D6B34BF9A17}"/>
    <cellStyle name="Millares 14 2 2 4" xfId="604" xr:uid="{C1E77875-7B39-4EE1-BD05-3A2020689ADA}"/>
    <cellStyle name="Millares 14 2 3" xfId="191" xr:uid="{AAAC499E-657E-4619-A460-F56C1992AC05}"/>
    <cellStyle name="Millares 14 2 3 2" xfId="427" xr:uid="{9B296959-11CF-4EDF-BD42-9BC00189D274}"/>
    <cellStyle name="Millares 14 2 3 2 2" xfId="899" xr:uid="{74AFC227-77A0-43DA-BEEB-C37850473880}"/>
    <cellStyle name="Millares 14 2 3 3" xfId="663" xr:uid="{4E088F46-8A4E-4C69-A02C-37E0E646ED46}"/>
    <cellStyle name="Millares 14 2 4" xfId="309" xr:uid="{A6EF0C83-ED10-417B-BDD5-0C2287ADF63C}"/>
    <cellStyle name="Millares 14 2 4 2" xfId="781" xr:uid="{CA8F5B11-6493-43E2-ADB9-0AA2A460FBB7}"/>
    <cellStyle name="Millares 14 2 5" xfId="545" xr:uid="{5261F0E0-B99A-4CAC-B70C-A3BB33C6BA38}"/>
    <cellStyle name="Millares 15" xfId="18" xr:uid="{00000000-0005-0000-0000-000009000000}"/>
    <cellStyle name="Millares 15 2" xfId="74" xr:uid="{260E60CA-D98F-4478-872C-0BE77F9D3B46}"/>
    <cellStyle name="Millares 15 2 2" xfId="133" xr:uid="{6231D8F6-6000-4D5D-8E9F-52DF3D221D0A}"/>
    <cellStyle name="Millares 15 2 2 2" xfId="251" xr:uid="{AE8BA9FF-A51C-4A96-B63D-7CD06B6730B8}"/>
    <cellStyle name="Millares 15 2 2 2 2" xfId="487" xr:uid="{5A7E8417-421D-4E15-8622-F6A4AA54798F}"/>
    <cellStyle name="Millares 15 2 2 2 2 2" xfId="959" xr:uid="{A96F9719-8DBD-4FCB-8BDA-CF21A74187D5}"/>
    <cellStyle name="Millares 15 2 2 2 3" xfId="723" xr:uid="{AFD1DA67-B3DB-4F77-AA25-5D95BFFA9121}"/>
    <cellStyle name="Millares 15 2 2 3" xfId="369" xr:uid="{51A85FFC-E4D5-4FC8-BD74-64404EC124EF}"/>
    <cellStyle name="Millares 15 2 2 3 2" xfId="841" xr:uid="{407E3878-D652-4FD0-AF69-B29A84F3E7D6}"/>
    <cellStyle name="Millares 15 2 2 4" xfId="605" xr:uid="{485A73E1-D775-492B-B406-0AF7E4CDE710}"/>
    <cellStyle name="Millares 15 2 3" xfId="192" xr:uid="{86BF5E0D-E411-403E-88B9-D24153747235}"/>
    <cellStyle name="Millares 15 2 3 2" xfId="428" xr:uid="{42A1742E-3984-4FEC-A6AD-3E8A8E2B0389}"/>
    <cellStyle name="Millares 15 2 3 2 2" xfId="900" xr:uid="{B94849E0-4593-438E-BECB-BA5D94581C5C}"/>
    <cellStyle name="Millares 15 2 3 3" xfId="664" xr:uid="{AFF73D74-7EC2-479D-9314-75C0A2C5E16C}"/>
    <cellStyle name="Millares 15 2 4" xfId="310" xr:uid="{9D3605E2-1C2F-4101-96E6-8E5033597E2B}"/>
    <cellStyle name="Millares 15 2 4 2" xfId="782" xr:uid="{A603A6A1-1E9F-4E33-B947-7D45B0843CD2}"/>
    <cellStyle name="Millares 15 2 5" xfId="546" xr:uid="{887956A1-1413-48EF-B770-90789B53EE16}"/>
    <cellStyle name="Millares 16" xfId="19" xr:uid="{00000000-0005-0000-0000-00000A000000}"/>
    <cellStyle name="Millares 16 2" xfId="75" xr:uid="{A1B8D480-343F-42CD-8949-EFDF9E84ED78}"/>
    <cellStyle name="Millares 16 2 2" xfId="134" xr:uid="{1F10B0B8-BB6B-4DA6-8E74-54EBAC9B8182}"/>
    <cellStyle name="Millares 16 2 2 2" xfId="252" xr:uid="{0C8C2B01-BE5E-4924-8B63-3A78A015A372}"/>
    <cellStyle name="Millares 16 2 2 2 2" xfId="488" xr:uid="{3DDF502E-50A3-475C-BBAE-60138B11FEB4}"/>
    <cellStyle name="Millares 16 2 2 2 2 2" xfId="960" xr:uid="{EB96E1F8-C37C-41DB-BAA3-DE45C41041D0}"/>
    <cellStyle name="Millares 16 2 2 2 3" xfId="724" xr:uid="{7D61C0D0-1A18-4AC6-96E7-18D1E8FF0A6A}"/>
    <cellStyle name="Millares 16 2 2 3" xfId="370" xr:uid="{3DAC9470-9397-4A66-A76C-D5482AE94E41}"/>
    <cellStyle name="Millares 16 2 2 3 2" xfId="842" xr:uid="{5EC4711C-01DC-4974-A494-30CF13B53803}"/>
    <cellStyle name="Millares 16 2 2 4" xfId="606" xr:uid="{C98CE291-34D3-478B-A031-3A728518B65F}"/>
    <cellStyle name="Millares 16 2 3" xfId="193" xr:uid="{9D22A695-B75B-4D55-ABFD-4D0EC14F447D}"/>
    <cellStyle name="Millares 16 2 3 2" xfId="429" xr:uid="{E01E2752-6C27-43CF-A507-9A1D2ED1C09D}"/>
    <cellStyle name="Millares 16 2 3 2 2" xfId="901" xr:uid="{8522A9C4-E29F-4E6E-9378-E63DB02B0B54}"/>
    <cellStyle name="Millares 16 2 3 3" xfId="665" xr:uid="{113ECCAB-58C9-42D0-9615-C3F19A98A7DD}"/>
    <cellStyle name="Millares 16 2 4" xfId="311" xr:uid="{22CD9D12-B7E0-4A53-A38D-77E6804C5014}"/>
    <cellStyle name="Millares 16 2 4 2" xfId="783" xr:uid="{948AD476-D234-4023-A02F-7C68CC2A4AF9}"/>
    <cellStyle name="Millares 16 2 5" xfId="547" xr:uid="{BF454F49-FA48-4F13-9835-B74D9D6FA666}"/>
    <cellStyle name="Millares 17" xfId="20" xr:uid="{00000000-0005-0000-0000-00000B000000}"/>
    <cellStyle name="Millares 17 2" xfId="76" xr:uid="{C4276D0D-A1F1-4B3C-92B8-883CACEC0B57}"/>
    <cellStyle name="Millares 17 2 2" xfId="135" xr:uid="{10AEE0B4-3F09-4651-9722-DB19310C2592}"/>
    <cellStyle name="Millares 17 2 2 2" xfId="253" xr:uid="{C1CC14A5-4439-4553-8497-6EA6DBBDEAEE}"/>
    <cellStyle name="Millares 17 2 2 2 2" xfId="489" xr:uid="{81849900-CF7A-4424-9632-5EAC6CD1A98A}"/>
    <cellStyle name="Millares 17 2 2 2 2 2" xfId="961" xr:uid="{3592F230-F821-4162-9ED7-8C751216CE8A}"/>
    <cellStyle name="Millares 17 2 2 2 3" xfId="725" xr:uid="{777F7DDB-2230-450E-830B-91DCF1CAB216}"/>
    <cellStyle name="Millares 17 2 2 3" xfId="371" xr:uid="{A683A2ED-562E-4BC9-AB4B-5FB78C7FBAC9}"/>
    <cellStyle name="Millares 17 2 2 3 2" xfId="843" xr:uid="{D8184C98-A590-4AA9-B981-A8BBBCC6E83F}"/>
    <cellStyle name="Millares 17 2 2 4" xfId="607" xr:uid="{29851FFC-CBD7-4463-8806-357A15A20952}"/>
    <cellStyle name="Millares 17 2 3" xfId="194" xr:uid="{3EC27A8B-0A0E-40E5-9859-D5903D8342DE}"/>
    <cellStyle name="Millares 17 2 3 2" xfId="430" xr:uid="{F0CDFD94-A59C-489D-900F-FEC3A8D85771}"/>
    <cellStyle name="Millares 17 2 3 2 2" xfId="902" xr:uid="{A0BE24F6-F301-48DE-9686-A270E0E96081}"/>
    <cellStyle name="Millares 17 2 3 3" xfId="666" xr:uid="{19DF39E2-7AAC-4EEA-9771-BAB5102520A8}"/>
    <cellStyle name="Millares 17 2 4" xfId="312" xr:uid="{303B3F06-688C-485B-ABDB-1167B7EED6FF}"/>
    <cellStyle name="Millares 17 2 4 2" xfId="784" xr:uid="{08D5E1A9-40FF-4783-A384-AE647826D7D2}"/>
    <cellStyle name="Millares 17 2 5" xfId="548" xr:uid="{92FB2532-6390-4111-8C6F-A0A19C0BD450}"/>
    <cellStyle name="Millares 18" xfId="21" xr:uid="{00000000-0005-0000-0000-00000C000000}"/>
    <cellStyle name="Millares 18 2" xfId="77" xr:uid="{D6AC7990-36C5-405E-A37A-6BA1546BE551}"/>
    <cellStyle name="Millares 18 2 2" xfId="136" xr:uid="{58E66B0F-3D0A-492F-A1A4-14B2BDD82C83}"/>
    <cellStyle name="Millares 18 2 2 2" xfId="254" xr:uid="{FC36F8C8-BC05-4C9B-9C48-25F0F8413CCC}"/>
    <cellStyle name="Millares 18 2 2 2 2" xfId="490" xr:uid="{8E8232FF-F7DB-480C-AB73-0F49AFB8552B}"/>
    <cellStyle name="Millares 18 2 2 2 2 2" xfId="962" xr:uid="{4EC586B3-2D5C-4303-AF62-7BEB33372BB4}"/>
    <cellStyle name="Millares 18 2 2 2 3" xfId="726" xr:uid="{F16E5BA3-1801-4ACF-AA8D-D47B3D46F2B8}"/>
    <cellStyle name="Millares 18 2 2 3" xfId="372" xr:uid="{CA138CD8-719F-4F91-8B7C-6EB5A08A0023}"/>
    <cellStyle name="Millares 18 2 2 3 2" xfId="844" xr:uid="{B1C8435B-3907-4818-8A98-CD1CE1FB2705}"/>
    <cellStyle name="Millares 18 2 2 4" xfId="608" xr:uid="{D2BE1C06-824B-4F66-B6B4-336198F4BD92}"/>
    <cellStyle name="Millares 18 2 3" xfId="195" xr:uid="{71BF0CD6-A75F-4A71-AE5A-C88B531DC67F}"/>
    <cellStyle name="Millares 18 2 3 2" xfId="431" xr:uid="{61FCBA8A-0A12-454C-BC7F-A27C8C29388A}"/>
    <cellStyle name="Millares 18 2 3 2 2" xfId="903" xr:uid="{A36D8BB2-5451-4210-801A-FEAC7D37A784}"/>
    <cellStyle name="Millares 18 2 3 3" xfId="667" xr:uid="{1E23AF1E-6D4B-4783-A181-F95F2D2EE20E}"/>
    <cellStyle name="Millares 18 2 4" xfId="313" xr:uid="{2BA526A0-58C9-45E4-BB6D-8475588EAD54}"/>
    <cellStyle name="Millares 18 2 4 2" xfId="785" xr:uid="{54E1DE06-1FAF-4B47-A20C-62D19533EAC3}"/>
    <cellStyle name="Millares 18 2 5" xfId="549" xr:uid="{A003C02D-09D6-4257-AAD3-D15E1DF0DBD5}"/>
    <cellStyle name="Millares 19" xfId="22" xr:uid="{00000000-0005-0000-0000-00000D000000}"/>
    <cellStyle name="Millares 19 2" xfId="78" xr:uid="{3107602F-47AB-4F59-9BBC-CC6BC6CC55BB}"/>
    <cellStyle name="Millares 19 2 2" xfId="137" xr:uid="{D7B42740-AB95-400A-8AED-F46EDB206DBE}"/>
    <cellStyle name="Millares 19 2 2 2" xfId="255" xr:uid="{75F145C5-B8DD-4133-974C-D528C3D3BB11}"/>
    <cellStyle name="Millares 19 2 2 2 2" xfId="491" xr:uid="{60CF4E17-E79D-44A0-8476-D0083DE6DA88}"/>
    <cellStyle name="Millares 19 2 2 2 2 2" xfId="963" xr:uid="{7C97C00C-FDDE-42A4-9987-3325DD5BD701}"/>
    <cellStyle name="Millares 19 2 2 2 3" xfId="727" xr:uid="{5829E5C2-EC28-4E65-A282-82F7A85DA56B}"/>
    <cellStyle name="Millares 19 2 2 3" xfId="373" xr:uid="{A94934E1-1752-4186-B18F-EF66C0B2838F}"/>
    <cellStyle name="Millares 19 2 2 3 2" xfId="845" xr:uid="{18B5496E-0354-4DC6-AE5D-0DAE9C228C96}"/>
    <cellStyle name="Millares 19 2 2 4" xfId="609" xr:uid="{55EBEAC4-C796-47E5-B0B8-783E46C8F045}"/>
    <cellStyle name="Millares 19 2 3" xfId="196" xr:uid="{E2F61B61-4E1E-4957-9ECC-DB4290F1A601}"/>
    <cellStyle name="Millares 19 2 3 2" xfId="432" xr:uid="{FDFD436B-5204-475E-90E3-8F9146EF8951}"/>
    <cellStyle name="Millares 19 2 3 2 2" xfId="904" xr:uid="{9771B4D6-BA5A-46C5-9A9E-2D67D44A2244}"/>
    <cellStyle name="Millares 19 2 3 3" xfId="668" xr:uid="{EB219759-DFEF-435F-BB29-055E35E70135}"/>
    <cellStyle name="Millares 19 2 4" xfId="314" xr:uid="{0904D7C4-85DC-4FEE-8A55-39A954AAA501}"/>
    <cellStyle name="Millares 19 2 4 2" xfId="786" xr:uid="{CB576850-0C5E-489E-A33D-DA6CBFAD249D}"/>
    <cellStyle name="Millares 19 2 5" xfId="550" xr:uid="{5C6F9DF6-77FE-4ADC-86B8-2A8916846F01}"/>
    <cellStyle name="Millares 2" xfId="4" xr:uid="{00000000-0005-0000-0000-00000E000000}"/>
    <cellStyle name="Millares 2 2" xfId="61" xr:uid="{50E549B8-415A-4D12-8096-BB6CB44952FB}"/>
    <cellStyle name="Millares 2 2 2" xfId="120" xr:uid="{F4364350-71D8-4A6E-B194-E087E13BE3DC}"/>
    <cellStyle name="Millares 2 2 2 2" xfId="238" xr:uid="{96C9647E-0E1F-48C8-894E-48210AFF8B5B}"/>
    <cellStyle name="Millares 2 2 2 2 2" xfId="474" xr:uid="{1D33BB2F-8BCC-4620-A07F-803BE2498BCB}"/>
    <cellStyle name="Millares 2 2 2 2 2 2" xfId="946" xr:uid="{34E738A7-C46E-4BD2-9108-BD9FD207FE4B}"/>
    <cellStyle name="Millares 2 2 2 2 3" xfId="710" xr:uid="{8BBCFC52-D9A0-453B-A7FB-B4845BF6B942}"/>
    <cellStyle name="Millares 2 2 2 3" xfId="356" xr:uid="{748E44E4-7ECF-4B58-8397-0B47774269DD}"/>
    <cellStyle name="Millares 2 2 2 3 2" xfId="828" xr:uid="{26401F64-63E1-4F9A-A2AD-63434B22508B}"/>
    <cellStyle name="Millares 2 2 2 4" xfId="592" xr:uid="{126236F2-1B0F-4654-A7EF-C5A5D99B8161}"/>
    <cellStyle name="Millares 2 2 3" xfId="179" xr:uid="{5197F06B-1E32-4531-B16E-2FCA299CB84A}"/>
    <cellStyle name="Millares 2 2 3 2" xfId="415" xr:uid="{BB3637B5-3222-4766-B536-5B114B6BAC57}"/>
    <cellStyle name="Millares 2 2 3 2 2" xfId="887" xr:uid="{1B992483-18B7-4A6C-83CB-8BD225C4140E}"/>
    <cellStyle name="Millares 2 2 3 3" xfId="651" xr:uid="{E6F7B855-B6A2-4247-952A-BF967DE08356}"/>
    <cellStyle name="Millares 2 2 4" xfId="297" xr:uid="{0C9BEED8-8511-4AA6-A278-CEF9AE6B116F}"/>
    <cellStyle name="Millares 2 2 4 2" xfId="769" xr:uid="{F07CB005-0A05-443E-8346-4AD4409D256D}"/>
    <cellStyle name="Millares 2 2 5" xfId="533" xr:uid="{21609227-E52B-471E-9698-2E6093921DD0}"/>
    <cellStyle name="Millares 20" xfId="23" xr:uid="{00000000-0005-0000-0000-00000F000000}"/>
    <cellStyle name="Millares 20 2" xfId="79" xr:uid="{7E4EEE93-39AC-4D79-AF62-8CFB4E84037A}"/>
    <cellStyle name="Millares 20 2 2" xfId="138" xr:uid="{004C2B5C-DD8D-4EA7-B437-5FAE5D47BC82}"/>
    <cellStyle name="Millares 20 2 2 2" xfId="256" xr:uid="{4E596E64-8A72-43BA-A7C7-10081A0461F5}"/>
    <cellStyle name="Millares 20 2 2 2 2" xfId="492" xr:uid="{B67BD580-1A4C-425C-BCA5-FE4230DD2C3A}"/>
    <cellStyle name="Millares 20 2 2 2 2 2" xfId="964" xr:uid="{D31675EE-750E-4EDF-AAE6-603F471121DC}"/>
    <cellStyle name="Millares 20 2 2 2 3" xfId="728" xr:uid="{ADF6B216-C0EA-45B3-80B3-0F6818193FE0}"/>
    <cellStyle name="Millares 20 2 2 3" xfId="374" xr:uid="{C630CF14-1215-4913-A6C3-212734C080BD}"/>
    <cellStyle name="Millares 20 2 2 3 2" xfId="846" xr:uid="{693271C3-AD03-4427-927A-8C333362B3D6}"/>
    <cellStyle name="Millares 20 2 2 4" xfId="610" xr:uid="{9E7A93C8-DCB4-45B8-BC16-88159FC5D79B}"/>
    <cellStyle name="Millares 20 2 3" xfId="197" xr:uid="{F4AB86EC-0190-451B-84A8-B934CE8FC63F}"/>
    <cellStyle name="Millares 20 2 3 2" xfId="433" xr:uid="{8155CDC3-E29A-4DA2-9096-7382228CD578}"/>
    <cellStyle name="Millares 20 2 3 2 2" xfId="905" xr:uid="{652EB5BE-A6CE-44A5-BC5F-2A625DA86F59}"/>
    <cellStyle name="Millares 20 2 3 3" xfId="669" xr:uid="{A529A790-785A-4FE4-9337-BF5810557F45}"/>
    <cellStyle name="Millares 20 2 4" xfId="315" xr:uid="{D9C1F37B-FCA9-48FB-A919-65D8655E9756}"/>
    <cellStyle name="Millares 20 2 4 2" xfId="787" xr:uid="{3A4E1757-80B7-49A9-A49F-84B58EA2D4D1}"/>
    <cellStyle name="Millares 20 2 5" xfId="551" xr:uid="{8A328A9B-ED12-434C-AAAF-607E1F556B1B}"/>
    <cellStyle name="Millares 21" xfId="24" xr:uid="{00000000-0005-0000-0000-000010000000}"/>
    <cellStyle name="Millares 21 2" xfId="80" xr:uid="{0176B605-FBC9-4511-B74A-9799689E6C40}"/>
    <cellStyle name="Millares 21 2 2" xfId="139" xr:uid="{ACAC78A3-54D3-4B6B-AED6-534217947763}"/>
    <cellStyle name="Millares 21 2 2 2" xfId="257" xr:uid="{C784FF9B-0BCA-46D1-A800-683EE3B481B3}"/>
    <cellStyle name="Millares 21 2 2 2 2" xfId="493" xr:uid="{C81EDCF4-5FE8-4D38-ACE5-85E856356E18}"/>
    <cellStyle name="Millares 21 2 2 2 2 2" xfId="965" xr:uid="{5C25CD8F-9703-481E-970D-A6AF7C275A14}"/>
    <cellStyle name="Millares 21 2 2 2 3" xfId="729" xr:uid="{D9B96181-63A5-4747-BF82-4AA378AF0F7D}"/>
    <cellStyle name="Millares 21 2 2 3" xfId="375" xr:uid="{98F4BF2B-A09B-4C61-8975-89D8E4C48708}"/>
    <cellStyle name="Millares 21 2 2 3 2" xfId="847" xr:uid="{F6FBCE15-7BA9-4272-9FA5-CA2D5F267295}"/>
    <cellStyle name="Millares 21 2 2 4" xfId="611" xr:uid="{9A0BEE6A-7AE9-42FE-B708-0E3874E3DED7}"/>
    <cellStyle name="Millares 21 2 3" xfId="198" xr:uid="{C7006B5B-F2E0-48E0-A755-02552E7A8747}"/>
    <cellStyle name="Millares 21 2 3 2" xfId="434" xr:uid="{A9F587D8-04A7-4851-A111-54EC7F22017C}"/>
    <cellStyle name="Millares 21 2 3 2 2" xfId="906" xr:uid="{4766F73D-312F-4B33-A15E-1D303D71B2C5}"/>
    <cellStyle name="Millares 21 2 3 3" xfId="670" xr:uid="{30EE9343-413C-4CF5-B3E7-241FA2610962}"/>
    <cellStyle name="Millares 21 2 4" xfId="316" xr:uid="{A0DDC232-4C5A-4BFB-8433-7C001032CCDB}"/>
    <cellStyle name="Millares 21 2 4 2" xfId="788" xr:uid="{EA6535E7-15E7-4E8F-B5E6-C920DD371E0D}"/>
    <cellStyle name="Millares 21 2 5" xfId="552" xr:uid="{46F2A85F-6C0A-49C7-85F1-475E5337C857}"/>
    <cellStyle name="Millares 22" xfId="25" xr:uid="{00000000-0005-0000-0000-000011000000}"/>
    <cellStyle name="Millares 22 2" xfId="81" xr:uid="{40A4E502-C3E0-4331-B730-C5CA03B87F59}"/>
    <cellStyle name="Millares 22 2 2" xfId="140" xr:uid="{67A2D1F5-C0A7-4234-B6D6-7A9DE5887EEC}"/>
    <cellStyle name="Millares 22 2 2 2" xfId="258" xr:uid="{209A4510-ECC4-4513-9B43-25B52CDDFF42}"/>
    <cellStyle name="Millares 22 2 2 2 2" xfId="494" xr:uid="{4F5A6F29-4A22-42F4-B274-53E240C51F59}"/>
    <cellStyle name="Millares 22 2 2 2 2 2" xfId="966" xr:uid="{29EE761F-EC01-4E29-B2DD-13083D002F27}"/>
    <cellStyle name="Millares 22 2 2 2 3" xfId="730" xr:uid="{73B1AED8-4851-41FE-AA96-B2A386342B19}"/>
    <cellStyle name="Millares 22 2 2 3" xfId="376" xr:uid="{EE8AA431-82B4-4439-BF53-53958DFD36F6}"/>
    <cellStyle name="Millares 22 2 2 3 2" xfId="848" xr:uid="{5C8A4425-4897-4744-92F2-40257C6F2479}"/>
    <cellStyle name="Millares 22 2 2 4" xfId="612" xr:uid="{4C6E4345-EBCA-4EB2-BA2F-411FF28FFB14}"/>
    <cellStyle name="Millares 22 2 3" xfId="199" xr:uid="{77D43CEE-05A8-419C-9E23-CA6A23968E17}"/>
    <cellStyle name="Millares 22 2 3 2" xfId="435" xr:uid="{25862D1B-55AF-4726-A10B-9C998790C462}"/>
    <cellStyle name="Millares 22 2 3 2 2" xfId="907" xr:uid="{A5146FA8-A680-4BBE-B810-D5D15F8F7CB7}"/>
    <cellStyle name="Millares 22 2 3 3" xfId="671" xr:uid="{AE98D586-20A6-434E-A19B-8C334A1C254F}"/>
    <cellStyle name="Millares 22 2 4" xfId="317" xr:uid="{BA1B5407-CFDA-469A-AC72-0548E53EA3B8}"/>
    <cellStyle name="Millares 22 2 4 2" xfId="789" xr:uid="{495D999C-6979-4B92-91EA-8DA53D9EF4B9}"/>
    <cellStyle name="Millares 22 2 5" xfId="553" xr:uid="{782E10BA-C2B7-4B7C-AF0F-6E41B2A13CB8}"/>
    <cellStyle name="Millares 23" xfId="26" xr:uid="{00000000-0005-0000-0000-000012000000}"/>
    <cellStyle name="Millares 23 2" xfId="82" xr:uid="{8DE6C366-CDBC-47EC-B99B-DAF6A95D7519}"/>
    <cellStyle name="Millares 23 2 2" xfId="141" xr:uid="{BE52DC1F-37E0-4783-AA27-66FCDCF57D7A}"/>
    <cellStyle name="Millares 23 2 2 2" xfId="259" xr:uid="{E9B3613F-CF9B-43F5-BB22-34DF9F757BAA}"/>
    <cellStyle name="Millares 23 2 2 2 2" xfId="495" xr:uid="{24702107-A19C-469F-AFA4-38D5DB8EA3A9}"/>
    <cellStyle name="Millares 23 2 2 2 2 2" xfId="967" xr:uid="{C87956AB-2663-45A4-A4D5-EFB30B523B1B}"/>
    <cellStyle name="Millares 23 2 2 2 3" xfId="731" xr:uid="{3E904D3D-B7C0-486A-AA61-793C4BA49DE5}"/>
    <cellStyle name="Millares 23 2 2 3" xfId="377" xr:uid="{90FEA530-E4C7-4C95-9FEC-AB3B17966F19}"/>
    <cellStyle name="Millares 23 2 2 3 2" xfId="849" xr:uid="{98D801EB-1D79-4BFC-94D2-C513000802B8}"/>
    <cellStyle name="Millares 23 2 2 4" xfId="613" xr:uid="{8265D936-E229-47A9-847A-5F7BEE344D85}"/>
    <cellStyle name="Millares 23 2 3" xfId="200" xr:uid="{28022D92-93A0-4CFF-984B-5C9B770AD69C}"/>
    <cellStyle name="Millares 23 2 3 2" xfId="436" xr:uid="{672F7990-D104-4F68-A38E-0C1C0CE002FC}"/>
    <cellStyle name="Millares 23 2 3 2 2" xfId="908" xr:uid="{AF8DB36F-3377-4B8B-8671-4657F8FD2D28}"/>
    <cellStyle name="Millares 23 2 3 3" xfId="672" xr:uid="{2EACAB16-0191-4749-A249-675C2B642560}"/>
    <cellStyle name="Millares 23 2 4" xfId="318" xr:uid="{D791C816-6F9C-48A6-AAA7-2BF1924762ED}"/>
    <cellStyle name="Millares 23 2 4 2" xfId="790" xr:uid="{D639F475-1FD9-4D88-AD48-4853EA260B83}"/>
    <cellStyle name="Millares 23 2 5" xfId="554" xr:uid="{7283D811-D98E-447C-84C2-2C3371B8CF1D}"/>
    <cellStyle name="Millares 24" xfId="27" xr:uid="{00000000-0005-0000-0000-000013000000}"/>
    <cellStyle name="Millares 24 2" xfId="83" xr:uid="{830C7CAF-67F7-4E6C-BF8F-3C789B05310F}"/>
    <cellStyle name="Millares 24 2 2" xfId="142" xr:uid="{D47A3B93-0BF9-4EC9-8E24-85CEB2143925}"/>
    <cellStyle name="Millares 24 2 2 2" xfId="260" xr:uid="{5B606171-408E-48AE-973E-08C6DB22B16F}"/>
    <cellStyle name="Millares 24 2 2 2 2" xfId="496" xr:uid="{C2F4211C-EC12-4CEF-A018-54E0F13F7B06}"/>
    <cellStyle name="Millares 24 2 2 2 2 2" xfId="968" xr:uid="{B4EEBDBC-0618-4435-9B5C-2C476742E1E9}"/>
    <cellStyle name="Millares 24 2 2 2 3" xfId="732" xr:uid="{A85AAF6A-4544-4971-BD02-1ABA3A2D1B7B}"/>
    <cellStyle name="Millares 24 2 2 3" xfId="378" xr:uid="{F649129F-E211-422C-B616-AF74B3AB453B}"/>
    <cellStyle name="Millares 24 2 2 3 2" xfId="850" xr:uid="{DEBD3892-239A-45AA-B4FE-AC9D3AA30439}"/>
    <cellStyle name="Millares 24 2 2 4" xfId="614" xr:uid="{1B9D88DC-15D6-4784-B760-C789BC019337}"/>
    <cellStyle name="Millares 24 2 3" xfId="201" xr:uid="{30859C68-875E-49A0-9794-9088F372C4AF}"/>
    <cellStyle name="Millares 24 2 3 2" xfId="437" xr:uid="{2C0DCABF-3470-4661-B5C1-40B01F707CB8}"/>
    <cellStyle name="Millares 24 2 3 2 2" xfId="909" xr:uid="{36E0CF92-6D0B-4489-8ACA-93C98E360DCF}"/>
    <cellStyle name="Millares 24 2 3 3" xfId="673" xr:uid="{1F09037B-54AD-4CA5-B9D9-51991219F2C8}"/>
    <cellStyle name="Millares 24 2 4" xfId="319" xr:uid="{D7050378-9EC5-4E42-89D7-CD09E1A316CE}"/>
    <cellStyle name="Millares 24 2 4 2" xfId="791" xr:uid="{76C84627-9705-48F3-82C8-6F4189B73B22}"/>
    <cellStyle name="Millares 24 2 5" xfId="555" xr:uid="{391DE274-D6A6-4B17-A67F-F9B9B57FB31E}"/>
    <cellStyle name="Millares 25" xfId="28" xr:uid="{00000000-0005-0000-0000-000014000000}"/>
    <cellStyle name="Millares 25 2" xfId="84" xr:uid="{2B7D7246-2DCA-4940-B47A-CD51D1EDB2B8}"/>
    <cellStyle name="Millares 25 2 2" xfId="143" xr:uid="{E36B1EA8-F4F0-44AF-A7E7-5B75BEE0A864}"/>
    <cellStyle name="Millares 25 2 2 2" xfId="261" xr:uid="{651D56B8-D24A-4514-A0D5-0A8A47EBD1B7}"/>
    <cellStyle name="Millares 25 2 2 2 2" xfId="497" xr:uid="{B4285A25-8864-43FA-91EB-5B574F080091}"/>
    <cellStyle name="Millares 25 2 2 2 2 2" xfId="969" xr:uid="{DAB2A73B-171B-4DE6-8611-4DA11E78D8C7}"/>
    <cellStyle name="Millares 25 2 2 2 3" xfId="733" xr:uid="{56882B7E-7C6A-44F2-B25E-560EC7F8292A}"/>
    <cellStyle name="Millares 25 2 2 3" xfId="379" xr:uid="{57B7E9D5-3D16-432F-8DEC-AC613F265F79}"/>
    <cellStyle name="Millares 25 2 2 3 2" xfId="851" xr:uid="{7FB1BDD8-6EE6-473C-8C2E-3A19D9A39BC7}"/>
    <cellStyle name="Millares 25 2 2 4" xfId="615" xr:uid="{D6A3A242-FF26-47AC-95FF-1B56291737E8}"/>
    <cellStyle name="Millares 25 2 3" xfId="202" xr:uid="{6FF2766A-0B85-465F-A029-3174D9FA771C}"/>
    <cellStyle name="Millares 25 2 3 2" xfId="438" xr:uid="{7626040D-5CD3-4D9F-8669-79843F28C56C}"/>
    <cellStyle name="Millares 25 2 3 2 2" xfId="910" xr:uid="{167AF486-CDE2-49D6-AA98-8A47AF5C8E43}"/>
    <cellStyle name="Millares 25 2 3 3" xfId="674" xr:uid="{8687821E-B23D-489B-8369-EDC35E45249D}"/>
    <cellStyle name="Millares 25 2 4" xfId="320" xr:uid="{438EA6D9-0F03-4279-B4BC-76E3415BD566}"/>
    <cellStyle name="Millares 25 2 4 2" xfId="792" xr:uid="{08D5B1F8-3634-4700-BBF9-8602C0CCBCE3}"/>
    <cellStyle name="Millares 25 2 5" xfId="556" xr:uid="{F33EA809-9B80-464F-A016-C0448FCBE1DC}"/>
    <cellStyle name="Millares 26" xfId="29" xr:uid="{00000000-0005-0000-0000-000015000000}"/>
    <cellStyle name="Millares 26 2" xfId="85" xr:uid="{EFC1353D-B12D-4A84-B586-15A723478990}"/>
    <cellStyle name="Millares 26 2 2" xfId="144" xr:uid="{7DEC1B0A-B746-446A-BBE3-38523AC40BED}"/>
    <cellStyle name="Millares 26 2 2 2" xfId="262" xr:uid="{1E14E29D-166A-47FC-822E-EC175274E667}"/>
    <cellStyle name="Millares 26 2 2 2 2" xfId="498" xr:uid="{ADB1E9DD-6E69-4C7D-98C0-72AA55078216}"/>
    <cellStyle name="Millares 26 2 2 2 2 2" xfId="970" xr:uid="{6917F654-9D74-457B-AE2C-9C7A696B385A}"/>
    <cellStyle name="Millares 26 2 2 2 3" xfId="734" xr:uid="{08F6CB39-4A9E-4F80-8018-9D9521E71FA0}"/>
    <cellStyle name="Millares 26 2 2 3" xfId="380" xr:uid="{206ECAD3-5EE3-4DF5-B880-E8478B076815}"/>
    <cellStyle name="Millares 26 2 2 3 2" xfId="852" xr:uid="{121D91AC-5500-4F4C-9A35-8C6A0EC2FCED}"/>
    <cellStyle name="Millares 26 2 2 4" xfId="616" xr:uid="{9D35F86C-83CA-423C-B219-FABEBFC357C9}"/>
    <cellStyle name="Millares 26 2 3" xfId="203" xr:uid="{3534D786-5C0A-4FE8-8A26-17722162AA8F}"/>
    <cellStyle name="Millares 26 2 3 2" xfId="439" xr:uid="{8B6104DB-E4D9-489B-856E-33DD18591202}"/>
    <cellStyle name="Millares 26 2 3 2 2" xfId="911" xr:uid="{286EF4E1-0059-4681-AE46-811F7D046BFF}"/>
    <cellStyle name="Millares 26 2 3 3" xfId="675" xr:uid="{EAEFB44B-51C8-4E2D-8DB8-8C67C15F521F}"/>
    <cellStyle name="Millares 26 2 4" xfId="321" xr:uid="{D3796294-8A05-487E-8EE1-6DFAA2F88A1D}"/>
    <cellStyle name="Millares 26 2 4 2" xfId="793" xr:uid="{49600080-8EB0-48D1-8431-52C770AA483C}"/>
    <cellStyle name="Millares 26 2 5" xfId="557" xr:uid="{0034F218-47D5-40D6-B0BA-9CE44B7A7878}"/>
    <cellStyle name="Millares 27" xfId="30" xr:uid="{00000000-0005-0000-0000-000016000000}"/>
    <cellStyle name="Millares 27 2" xfId="86" xr:uid="{868FC916-BAD1-4376-9CB0-F9D775F9FC3B}"/>
    <cellStyle name="Millares 27 2 2" xfId="145" xr:uid="{A26D8234-0C6E-4F17-861C-F89807E0F17A}"/>
    <cellStyle name="Millares 27 2 2 2" xfId="263" xr:uid="{BD8FADD3-844F-47B7-A8B1-1887CE69C2DD}"/>
    <cellStyle name="Millares 27 2 2 2 2" xfId="499" xr:uid="{C648F8D8-6B61-48F9-B483-0BF60044B4C0}"/>
    <cellStyle name="Millares 27 2 2 2 2 2" xfId="971" xr:uid="{BC0E625B-E273-409D-9E65-35BAF21E1335}"/>
    <cellStyle name="Millares 27 2 2 2 3" xfId="735" xr:uid="{AED962EC-9C1B-4FE0-A8C4-5DB6C744386E}"/>
    <cellStyle name="Millares 27 2 2 3" xfId="381" xr:uid="{33CB6B6A-2ECC-4960-B33F-698F65B3A50A}"/>
    <cellStyle name="Millares 27 2 2 3 2" xfId="853" xr:uid="{D36A81E4-1EDB-4579-9035-9859F81994E7}"/>
    <cellStyle name="Millares 27 2 2 4" xfId="617" xr:uid="{A5EB25EB-D8E8-4086-B808-8189E2507555}"/>
    <cellStyle name="Millares 27 2 3" xfId="204" xr:uid="{9A977EDD-081A-4095-A9AC-73A9A1BDD1DD}"/>
    <cellStyle name="Millares 27 2 3 2" xfId="440" xr:uid="{3C26BFB5-96A3-4E2A-8644-FF6EBC217A1E}"/>
    <cellStyle name="Millares 27 2 3 2 2" xfId="912" xr:uid="{00E7018A-E406-4014-A570-DE0EE813104E}"/>
    <cellStyle name="Millares 27 2 3 3" xfId="676" xr:uid="{1D681442-3368-4505-A3A4-23393CB6EDD6}"/>
    <cellStyle name="Millares 27 2 4" xfId="322" xr:uid="{5B094CAC-A1C2-4468-A2EB-6953E5B39D61}"/>
    <cellStyle name="Millares 27 2 4 2" xfId="794" xr:uid="{AD26C70F-C815-459F-BB04-A4B290841D93}"/>
    <cellStyle name="Millares 27 2 5" xfId="558" xr:uid="{3CAABEA7-9504-43A3-8195-AC61F89D1067}"/>
    <cellStyle name="Millares 28" xfId="31" xr:uid="{00000000-0005-0000-0000-000017000000}"/>
    <cellStyle name="Millares 28 2" xfId="87" xr:uid="{12275D84-DBBD-4DDE-98A3-E32D4568586D}"/>
    <cellStyle name="Millares 28 2 2" xfId="146" xr:uid="{68B51CE5-0928-4B52-AB1F-B05A312F5ED1}"/>
    <cellStyle name="Millares 28 2 2 2" xfId="264" xr:uid="{8DD95A3A-727D-4A15-89A5-3E933F5BE854}"/>
    <cellStyle name="Millares 28 2 2 2 2" xfId="500" xr:uid="{0BEB9D27-AA1F-4275-8149-7D65ED735C28}"/>
    <cellStyle name="Millares 28 2 2 2 2 2" xfId="972" xr:uid="{3FFDA771-5C8A-42DF-8A61-67491090634F}"/>
    <cellStyle name="Millares 28 2 2 2 3" xfId="736" xr:uid="{99B26F83-A687-45A6-8444-AB96F098A253}"/>
    <cellStyle name="Millares 28 2 2 3" xfId="382" xr:uid="{B1479193-64F2-4ABD-8ABC-4B674138CDEA}"/>
    <cellStyle name="Millares 28 2 2 3 2" xfId="854" xr:uid="{D131DA77-F750-4A66-9A2E-58102AE04403}"/>
    <cellStyle name="Millares 28 2 2 4" xfId="618" xr:uid="{6165AAED-3B34-41F2-A085-8353BB47A41F}"/>
    <cellStyle name="Millares 28 2 3" xfId="205" xr:uid="{56B30D5E-2C1E-420A-A737-A2F45E21CC21}"/>
    <cellStyle name="Millares 28 2 3 2" xfId="441" xr:uid="{B4303133-0C37-46FB-ADCB-F893ECFB8998}"/>
    <cellStyle name="Millares 28 2 3 2 2" xfId="913" xr:uid="{9181CC1F-553B-40EA-B0ED-ECF0F04F91BC}"/>
    <cellStyle name="Millares 28 2 3 3" xfId="677" xr:uid="{0C658E64-3957-4FE9-A4A0-C483267AC6A2}"/>
    <cellStyle name="Millares 28 2 4" xfId="323" xr:uid="{C08CC67B-560A-4662-9B4F-E529C98F28F0}"/>
    <cellStyle name="Millares 28 2 4 2" xfId="795" xr:uid="{A4107CCD-AE17-49AB-ABDF-20CA7323CDAC}"/>
    <cellStyle name="Millares 28 2 5" xfId="559" xr:uid="{0F138B1B-FECD-4E95-A15A-C301218030BF}"/>
    <cellStyle name="Millares 29" xfId="32" xr:uid="{00000000-0005-0000-0000-000018000000}"/>
    <cellStyle name="Millares 29 2" xfId="88" xr:uid="{3A88CD38-6145-4579-B81F-0AC956FA3B25}"/>
    <cellStyle name="Millares 29 2 2" xfId="147" xr:uid="{E3A2E949-2973-4506-A188-A9C1CD6114A5}"/>
    <cellStyle name="Millares 29 2 2 2" xfId="265" xr:uid="{3A9F02D5-9E3A-415C-8504-FBA5DD62DC2D}"/>
    <cellStyle name="Millares 29 2 2 2 2" xfId="501" xr:uid="{EA3115C2-7EE7-4CE5-B1D5-C6FB15F7A649}"/>
    <cellStyle name="Millares 29 2 2 2 2 2" xfId="973" xr:uid="{BEA33FE1-3947-4C7F-9D62-036ADA352D27}"/>
    <cellStyle name="Millares 29 2 2 2 3" xfId="737" xr:uid="{60E7F9C5-0EE9-4C95-916C-138E64FFA6A1}"/>
    <cellStyle name="Millares 29 2 2 3" xfId="383" xr:uid="{195A36F4-790F-4C3F-8C23-BBECB9D00ED6}"/>
    <cellStyle name="Millares 29 2 2 3 2" xfId="855" xr:uid="{8816DF6A-B670-4D83-9FA1-CB6F526208F5}"/>
    <cellStyle name="Millares 29 2 2 4" xfId="619" xr:uid="{C5467016-55EB-4CE4-806B-177A958C14E8}"/>
    <cellStyle name="Millares 29 2 3" xfId="206" xr:uid="{81AE5B2E-1CA2-4C06-9F35-93022973176F}"/>
    <cellStyle name="Millares 29 2 3 2" xfId="442" xr:uid="{6DD3004E-9B93-4261-9EFF-64610D9AE3B0}"/>
    <cellStyle name="Millares 29 2 3 2 2" xfId="914" xr:uid="{283E1225-5CA2-485F-8F8C-A38BE1F2B8C8}"/>
    <cellStyle name="Millares 29 2 3 3" xfId="678" xr:uid="{51DED31F-CEB1-468D-B1BD-86E559B4363A}"/>
    <cellStyle name="Millares 29 2 4" xfId="324" xr:uid="{B2514C70-D014-40C1-AEC3-52D4A9A979EA}"/>
    <cellStyle name="Millares 29 2 4 2" xfId="796" xr:uid="{719BDEEE-BBB9-4289-9AF5-9992A37E61EB}"/>
    <cellStyle name="Millares 29 2 5" xfId="560" xr:uid="{83E48D38-5EDD-4151-A1CD-7BF718E68D04}"/>
    <cellStyle name="Millares 3" xfId="6" xr:uid="{00000000-0005-0000-0000-000019000000}"/>
    <cellStyle name="Millares 3 2" xfId="62" xr:uid="{23D2E746-DC10-4D9D-8EBA-5F9B89BDE1FC}"/>
    <cellStyle name="Millares 3 2 2" xfId="121" xr:uid="{D24EFB72-5DB8-48DB-9FEB-BCBA5E814FA0}"/>
    <cellStyle name="Millares 3 2 2 2" xfId="239" xr:uid="{55A68ACE-EB60-4341-9CDA-7CB34F4667F4}"/>
    <cellStyle name="Millares 3 2 2 2 2" xfId="475" xr:uid="{EACD0FBD-D4C6-4148-969C-5E1EB7AAF88D}"/>
    <cellStyle name="Millares 3 2 2 2 2 2" xfId="947" xr:uid="{90C787FE-0500-4DB1-9C2D-E28F43DB35C4}"/>
    <cellStyle name="Millares 3 2 2 2 3" xfId="711" xr:uid="{04614BDD-D87D-4E14-B931-CF1CF9F44F5B}"/>
    <cellStyle name="Millares 3 2 2 3" xfId="357" xr:uid="{0C14FE69-0018-4B5D-818C-EBB88D3A61B5}"/>
    <cellStyle name="Millares 3 2 2 3 2" xfId="829" xr:uid="{D6018C97-8240-4418-85B9-F4DB1A277515}"/>
    <cellStyle name="Millares 3 2 2 4" xfId="593" xr:uid="{6CB03438-9C79-40B8-B3DF-6F796E7C628B}"/>
    <cellStyle name="Millares 3 2 3" xfId="180" xr:uid="{B6CB87A2-C44D-4CF1-842A-684F0E88F9CD}"/>
    <cellStyle name="Millares 3 2 3 2" xfId="416" xr:uid="{80BE4AC3-059D-45E8-B262-A1F0214222D1}"/>
    <cellStyle name="Millares 3 2 3 2 2" xfId="888" xr:uid="{89A9BAB9-7B5F-45FD-B587-6B46215C06B0}"/>
    <cellStyle name="Millares 3 2 3 3" xfId="652" xr:uid="{F751EF57-AE37-4D0E-8977-D6B428895AD1}"/>
    <cellStyle name="Millares 3 2 4" xfId="298" xr:uid="{8236B054-BDBC-4368-A3A1-0AAD6B1F6503}"/>
    <cellStyle name="Millares 3 2 4 2" xfId="770" xr:uid="{4D52AE45-3C8E-46D4-88CD-571FC0C64D53}"/>
    <cellStyle name="Millares 3 2 5" xfId="534" xr:uid="{2CF16DA2-9CF0-44AC-B587-0BEB466D35E8}"/>
    <cellStyle name="Millares 30" xfId="33" xr:uid="{00000000-0005-0000-0000-00001A000000}"/>
    <cellStyle name="Millares 30 2" xfId="89" xr:uid="{15E365C3-0AFA-47EC-B35C-4F0F0B5EEC57}"/>
    <cellStyle name="Millares 30 2 2" xfId="148" xr:uid="{A7046AD0-7AA7-49B1-A3BB-E44CA9865A98}"/>
    <cellStyle name="Millares 30 2 2 2" xfId="266" xr:uid="{E0B6AFEF-38A7-4897-A88A-409A88E45B7A}"/>
    <cellStyle name="Millares 30 2 2 2 2" xfId="502" xr:uid="{89E85D97-53A1-4D13-8F14-BD00B6643BD0}"/>
    <cellStyle name="Millares 30 2 2 2 2 2" xfId="974" xr:uid="{4CC5D38A-E6CC-4254-84CA-4353EB2E973A}"/>
    <cellStyle name="Millares 30 2 2 2 3" xfId="738" xr:uid="{669C7B96-2449-44F7-8247-A023F89193B0}"/>
    <cellStyle name="Millares 30 2 2 3" xfId="384" xr:uid="{6B197480-12AC-4E5E-AE5C-494B1EC0A715}"/>
    <cellStyle name="Millares 30 2 2 3 2" xfId="856" xr:uid="{088C876D-6601-4CCF-8D9A-414C9E6313EE}"/>
    <cellStyle name="Millares 30 2 2 4" xfId="620" xr:uid="{160B3420-F61E-49A3-AA65-D9D95570EDB1}"/>
    <cellStyle name="Millares 30 2 3" xfId="207" xr:uid="{422C7CD3-068D-4A77-9691-2E02F7789341}"/>
    <cellStyle name="Millares 30 2 3 2" xfId="443" xr:uid="{5C655A1B-8BBB-4931-A332-5BBC8CC76BC5}"/>
    <cellStyle name="Millares 30 2 3 2 2" xfId="915" xr:uid="{2C3BEC0C-D452-4508-AEF9-326707B94EDB}"/>
    <cellStyle name="Millares 30 2 3 3" xfId="679" xr:uid="{3126EF36-DA21-433F-A923-B7E057A861BA}"/>
    <cellStyle name="Millares 30 2 4" xfId="325" xr:uid="{EEEA258D-12B2-4895-9557-67468464C9D5}"/>
    <cellStyle name="Millares 30 2 4 2" xfId="797" xr:uid="{46313672-D565-4C76-915E-F30BA432C96A}"/>
    <cellStyle name="Millares 30 2 5" xfId="561" xr:uid="{21220F95-E1B8-421D-9519-0F3EEBE7DDA5}"/>
    <cellStyle name="Millares 31" xfId="34" xr:uid="{00000000-0005-0000-0000-00001B000000}"/>
    <cellStyle name="Millares 31 2" xfId="90" xr:uid="{CDECBD84-82A4-404F-A20E-BD76D77DBC3D}"/>
    <cellStyle name="Millares 31 2 2" xfId="149" xr:uid="{E3E9D61F-957D-4E49-ADE4-3A4469E46A93}"/>
    <cellStyle name="Millares 31 2 2 2" xfId="267" xr:uid="{FE95DBF1-4D20-43AE-A023-E01B0D348ACE}"/>
    <cellStyle name="Millares 31 2 2 2 2" xfId="503" xr:uid="{59EB5E64-0BB8-4D5A-A7D1-774EBF4BD7E1}"/>
    <cellStyle name="Millares 31 2 2 2 2 2" xfId="975" xr:uid="{12A97D8E-AFF7-4953-B41D-4D8683CF9D6F}"/>
    <cellStyle name="Millares 31 2 2 2 3" xfId="739" xr:uid="{CE496C0A-7ED7-4058-9FC5-BFC6A5A3C87A}"/>
    <cellStyle name="Millares 31 2 2 3" xfId="385" xr:uid="{C0757D12-E5C5-47D7-B634-98649FAEB207}"/>
    <cellStyle name="Millares 31 2 2 3 2" xfId="857" xr:uid="{893A054C-ECBD-439B-9AA6-0EF3BCB73C92}"/>
    <cellStyle name="Millares 31 2 2 4" xfId="621" xr:uid="{E3ABC503-B802-4530-A586-6319F79808AA}"/>
    <cellStyle name="Millares 31 2 3" xfId="208" xr:uid="{326171DA-1D3F-4C90-A00E-31305422CE86}"/>
    <cellStyle name="Millares 31 2 3 2" xfId="444" xr:uid="{3F92195E-6BB2-4B64-BD79-3C78B79CF210}"/>
    <cellStyle name="Millares 31 2 3 2 2" xfId="916" xr:uid="{C9E4C1B1-F949-46D7-B8A3-46B21DFE68B0}"/>
    <cellStyle name="Millares 31 2 3 3" xfId="680" xr:uid="{269EFE7C-DEA3-411C-B4BB-A365CC0A7892}"/>
    <cellStyle name="Millares 31 2 4" xfId="326" xr:uid="{80BECE3B-FB97-4933-8A46-6D54EE5B15A0}"/>
    <cellStyle name="Millares 31 2 4 2" xfId="798" xr:uid="{F237720C-4179-4942-9ACD-CD8ECB61F6BF}"/>
    <cellStyle name="Millares 31 2 5" xfId="562" xr:uid="{C5931634-A228-4BB7-9797-E27E566EB832}"/>
    <cellStyle name="Millares 32" xfId="35" xr:uid="{00000000-0005-0000-0000-00001C000000}"/>
    <cellStyle name="Millares 32 2" xfId="91" xr:uid="{943FDF3C-A06B-4A58-8A2F-CC54877C03C6}"/>
    <cellStyle name="Millares 32 2 2" xfId="150" xr:uid="{1DE4F0A2-8108-4900-9AAF-78886A8FCBA0}"/>
    <cellStyle name="Millares 32 2 2 2" xfId="268" xr:uid="{90EDC3F4-BA5A-4778-8465-3ABCEC9396E7}"/>
    <cellStyle name="Millares 32 2 2 2 2" xfId="504" xr:uid="{EB7718B2-658C-4242-82F0-C45F8F43C7FA}"/>
    <cellStyle name="Millares 32 2 2 2 2 2" xfId="976" xr:uid="{823FCFD9-D12B-483E-A7D2-B5AD29414AFD}"/>
    <cellStyle name="Millares 32 2 2 2 3" xfId="740" xr:uid="{98338700-E5F4-47D8-804D-40BEAAB49D22}"/>
    <cellStyle name="Millares 32 2 2 3" xfId="386" xr:uid="{F87E38F3-9625-4E3D-AEB1-7B739575F1FF}"/>
    <cellStyle name="Millares 32 2 2 3 2" xfId="858" xr:uid="{0A2615E9-616D-4722-813F-2654B8BB1224}"/>
    <cellStyle name="Millares 32 2 2 4" xfId="622" xr:uid="{AFD58D12-9712-4E44-BD97-7C85814E7DD8}"/>
    <cellStyle name="Millares 32 2 3" xfId="209" xr:uid="{4F41625B-22BC-4F63-846A-6241056E4414}"/>
    <cellStyle name="Millares 32 2 3 2" xfId="445" xr:uid="{86FCFB82-CFC1-4A25-9B43-54BB5F2992F7}"/>
    <cellStyle name="Millares 32 2 3 2 2" xfId="917" xr:uid="{B5D7AC08-3AB4-44FD-A734-CD5781C481D4}"/>
    <cellStyle name="Millares 32 2 3 3" xfId="681" xr:uid="{D6368975-6E84-4149-A76E-2D56FBB139FD}"/>
    <cellStyle name="Millares 32 2 4" xfId="327" xr:uid="{12FCAE77-E07E-49ED-A6B7-220B92F5B536}"/>
    <cellStyle name="Millares 32 2 4 2" xfId="799" xr:uid="{867DCF85-8FA0-4DE9-A169-0B4DCDB6639C}"/>
    <cellStyle name="Millares 32 2 5" xfId="563" xr:uid="{3DA3EC81-51AD-4EAC-919B-5B11B8E49F11}"/>
    <cellStyle name="Millares 33" xfId="36" xr:uid="{00000000-0005-0000-0000-00001D000000}"/>
    <cellStyle name="Millares 33 2" xfId="92" xr:uid="{14457C43-4ABD-46D5-9B57-E4192AF53C93}"/>
    <cellStyle name="Millares 33 2 2" xfId="151" xr:uid="{66D260D8-51DE-465A-948A-5389DF28EF09}"/>
    <cellStyle name="Millares 33 2 2 2" xfId="269" xr:uid="{144BF8B9-A1A2-439B-9922-E52477026155}"/>
    <cellStyle name="Millares 33 2 2 2 2" xfId="505" xr:uid="{3265E9E5-7707-442E-9DE5-4D11ABA4F207}"/>
    <cellStyle name="Millares 33 2 2 2 2 2" xfId="977" xr:uid="{43D9D372-C2F4-4F1D-AA5E-CCFC9B7A0B6D}"/>
    <cellStyle name="Millares 33 2 2 2 3" xfId="741" xr:uid="{8EEE14E0-61D8-4C7E-A1DA-E53B517778D9}"/>
    <cellStyle name="Millares 33 2 2 3" xfId="387" xr:uid="{A67663D1-B5FC-4C7F-8FFB-411C5059D6ED}"/>
    <cellStyle name="Millares 33 2 2 3 2" xfId="859" xr:uid="{7F5E433F-B324-4F8D-9317-0763BF33C416}"/>
    <cellStyle name="Millares 33 2 2 4" xfId="623" xr:uid="{8036D3DC-040A-43B7-B2E6-225D0905889C}"/>
    <cellStyle name="Millares 33 2 3" xfId="210" xr:uid="{1A6A33CD-A109-4908-9F3F-448D2773FF18}"/>
    <cellStyle name="Millares 33 2 3 2" xfId="446" xr:uid="{11101B13-0C90-41EA-A244-7E341FBEEF81}"/>
    <cellStyle name="Millares 33 2 3 2 2" xfId="918" xr:uid="{DB0DD39F-56C4-4E74-92EE-F9B54A388008}"/>
    <cellStyle name="Millares 33 2 3 3" xfId="682" xr:uid="{2DF2293C-4DC9-4068-A9E7-F9D0E60F743C}"/>
    <cellStyle name="Millares 33 2 4" xfId="328" xr:uid="{9D94DE35-8AB3-45FD-9813-F899A4972B9D}"/>
    <cellStyle name="Millares 33 2 4 2" xfId="800" xr:uid="{2236F436-9CFA-4A38-8D0B-015EF9A41786}"/>
    <cellStyle name="Millares 33 2 5" xfId="564" xr:uid="{14F94F8B-B62D-4A3E-9664-60DAAE72B2CF}"/>
    <cellStyle name="Millares 34" xfId="37" xr:uid="{00000000-0005-0000-0000-00001E000000}"/>
    <cellStyle name="Millares 34 2" xfId="93" xr:uid="{DE4C004B-88F2-4ABE-92D6-37AA112D44F7}"/>
    <cellStyle name="Millares 34 2 2" xfId="152" xr:uid="{01128E3E-53EF-49C4-809C-A6DC230081F1}"/>
    <cellStyle name="Millares 34 2 2 2" xfId="270" xr:uid="{80B3DB33-2E2B-4C55-B1BD-DF5539A58474}"/>
    <cellStyle name="Millares 34 2 2 2 2" xfId="506" xr:uid="{AFD11715-FAEF-42D7-995B-E378E8C5B383}"/>
    <cellStyle name="Millares 34 2 2 2 2 2" xfId="978" xr:uid="{81FCE7C1-1BF4-46C0-8657-FC0FDD057B47}"/>
    <cellStyle name="Millares 34 2 2 2 3" xfId="742" xr:uid="{28345A13-6040-44F6-AB15-615A5615C6EB}"/>
    <cellStyle name="Millares 34 2 2 3" xfId="388" xr:uid="{D3B94C97-A7B6-4C4A-BCDD-3707538538C3}"/>
    <cellStyle name="Millares 34 2 2 3 2" xfId="860" xr:uid="{68DD82E6-64AE-4B62-B1B9-B2252302BB18}"/>
    <cellStyle name="Millares 34 2 2 4" xfId="624" xr:uid="{C70845DB-152D-4D4A-ABA3-B5DAB557A0C9}"/>
    <cellStyle name="Millares 34 2 3" xfId="211" xr:uid="{D84A1E07-7816-4FA8-915D-8800E7070311}"/>
    <cellStyle name="Millares 34 2 3 2" xfId="447" xr:uid="{B06EB2BD-F7FB-4961-B0D5-08618579F8B8}"/>
    <cellStyle name="Millares 34 2 3 2 2" xfId="919" xr:uid="{D18623B9-98AB-4DE5-9341-BBD54C7B3A92}"/>
    <cellStyle name="Millares 34 2 3 3" xfId="683" xr:uid="{0AD19E8D-452D-47C7-8428-A59B1054C1D7}"/>
    <cellStyle name="Millares 34 2 4" xfId="329" xr:uid="{4F7D20DF-CA48-484C-8A74-7F679D92B59D}"/>
    <cellStyle name="Millares 34 2 4 2" xfId="801" xr:uid="{36978B8B-EDE0-40C3-8471-18A69829BEA9}"/>
    <cellStyle name="Millares 34 2 5" xfId="565" xr:uid="{66DA4388-13D8-4817-8A14-4A8D67954938}"/>
    <cellStyle name="Millares 35" xfId="38" xr:uid="{00000000-0005-0000-0000-00001F000000}"/>
    <cellStyle name="Millares 35 2" xfId="94" xr:uid="{5D450B1B-8CF2-42E1-B129-A7D0817953B5}"/>
    <cellStyle name="Millares 35 2 2" xfId="153" xr:uid="{55C280C4-CF90-4E57-A09C-C409317FBB8D}"/>
    <cellStyle name="Millares 35 2 2 2" xfId="271" xr:uid="{F618D312-81F9-4C9E-A95B-C82ED3D423D1}"/>
    <cellStyle name="Millares 35 2 2 2 2" xfId="507" xr:uid="{1A4F4C31-3E91-4324-A26F-FD31DE372489}"/>
    <cellStyle name="Millares 35 2 2 2 2 2" xfId="979" xr:uid="{6EBDD4DC-79F1-4D6F-83D1-30FAA5C72796}"/>
    <cellStyle name="Millares 35 2 2 2 3" xfId="743" xr:uid="{342686CD-8166-404A-ADE4-EBC0F1ADAB30}"/>
    <cellStyle name="Millares 35 2 2 3" xfId="389" xr:uid="{4BE07647-B4B1-4B8B-9ED6-838D51F6EE6B}"/>
    <cellStyle name="Millares 35 2 2 3 2" xfId="861" xr:uid="{50E06F53-A956-48A0-9F0F-1FC1A543381F}"/>
    <cellStyle name="Millares 35 2 2 4" xfId="625" xr:uid="{E27FC11E-1E38-42A5-8BC0-529800FEA7C5}"/>
    <cellStyle name="Millares 35 2 3" xfId="212" xr:uid="{FCF4C44A-6092-42A7-AE0C-70EB7905036D}"/>
    <cellStyle name="Millares 35 2 3 2" xfId="448" xr:uid="{CE07B5BD-A9F6-42A0-90BC-CD5F01065C36}"/>
    <cellStyle name="Millares 35 2 3 2 2" xfId="920" xr:uid="{67746782-ED8D-4974-B90E-DE4A54A1F400}"/>
    <cellStyle name="Millares 35 2 3 3" xfId="684" xr:uid="{B4F8DC4A-6C1A-42CA-866A-6784C12B1EBE}"/>
    <cellStyle name="Millares 35 2 4" xfId="330" xr:uid="{EFAF92CF-CE17-4CE2-AD96-DA5B79578ACC}"/>
    <cellStyle name="Millares 35 2 4 2" xfId="802" xr:uid="{12D4483E-1B76-43D8-A921-C799A794390E}"/>
    <cellStyle name="Millares 35 2 5" xfId="566" xr:uid="{73541CCD-EE2E-4A84-B010-25941DCDBBF9}"/>
    <cellStyle name="Millares 36" xfId="39" xr:uid="{00000000-0005-0000-0000-000020000000}"/>
    <cellStyle name="Millares 36 2" xfId="95" xr:uid="{2DB22002-A243-4418-A6F4-5A7AB6F4DE8C}"/>
    <cellStyle name="Millares 36 2 2" xfId="154" xr:uid="{13802492-A0C1-49D5-8CCF-3CBB2E786BD1}"/>
    <cellStyle name="Millares 36 2 2 2" xfId="272" xr:uid="{21EE70B6-743A-4FFB-9097-688C1CADF1A7}"/>
    <cellStyle name="Millares 36 2 2 2 2" xfId="508" xr:uid="{E01E0519-9D9F-4F5C-AB54-86F7B738F56A}"/>
    <cellStyle name="Millares 36 2 2 2 2 2" xfId="980" xr:uid="{339D8955-4FAD-401B-AD6A-8BC081ED28C9}"/>
    <cellStyle name="Millares 36 2 2 2 3" xfId="744" xr:uid="{7EBE22C4-65E1-4208-B92B-0F74D5EE892D}"/>
    <cellStyle name="Millares 36 2 2 3" xfId="390" xr:uid="{917EDBE8-EA31-4D03-9E5A-C0C9605C26DD}"/>
    <cellStyle name="Millares 36 2 2 3 2" xfId="862" xr:uid="{8970C542-6FF5-4E41-BAAF-FA07D4082D5A}"/>
    <cellStyle name="Millares 36 2 2 4" xfId="626" xr:uid="{96536778-E0AD-4E72-901D-57615F511D06}"/>
    <cellStyle name="Millares 36 2 3" xfId="213" xr:uid="{03228DF4-D1B0-4E4D-A6ED-BBC9D102B75D}"/>
    <cellStyle name="Millares 36 2 3 2" xfId="449" xr:uid="{BB360F0F-0C96-4943-B25C-64E3E96AD873}"/>
    <cellStyle name="Millares 36 2 3 2 2" xfId="921" xr:uid="{A2ABE66E-8915-4932-9AD9-7284D43A142F}"/>
    <cellStyle name="Millares 36 2 3 3" xfId="685" xr:uid="{A62279BC-E387-483F-9DF3-D07AEA6B8D94}"/>
    <cellStyle name="Millares 36 2 4" xfId="331" xr:uid="{1F26DBE4-860D-4F6B-9985-B9497AC41015}"/>
    <cellStyle name="Millares 36 2 4 2" xfId="803" xr:uid="{A37ABFB7-CEB1-4552-A305-BA44B72EDB3F}"/>
    <cellStyle name="Millares 36 2 5" xfId="567" xr:uid="{956DF5E8-A88A-4DFF-B176-D9D255515FBB}"/>
    <cellStyle name="Millares 37" xfId="40" xr:uid="{00000000-0005-0000-0000-000021000000}"/>
    <cellStyle name="Millares 37 2" xfId="96" xr:uid="{AC334606-1624-4108-AF43-33E787EFCA40}"/>
    <cellStyle name="Millares 37 2 2" xfId="155" xr:uid="{114FEEFE-9267-4BB6-819C-97EC4AE8B391}"/>
    <cellStyle name="Millares 37 2 2 2" xfId="273" xr:uid="{DDC62155-6206-4A9A-848E-93B1F25426D4}"/>
    <cellStyle name="Millares 37 2 2 2 2" xfId="509" xr:uid="{498D5A4C-560C-4B67-93BE-11C44389A5D9}"/>
    <cellStyle name="Millares 37 2 2 2 2 2" xfId="981" xr:uid="{68612BF0-FBB9-428E-BC33-4F74AAF5ED1B}"/>
    <cellStyle name="Millares 37 2 2 2 3" xfId="745" xr:uid="{A28AC695-3D8E-442C-9149-7524B8BFE90C}"/>
    <cellStyle name="Millares 37 2 2 3" xfId="391" xr:uid="{9D6D54BA-0603-458F-A365-6CE2D8DBF342}"/>
    <cellStyle name="Millares 37 2 2 3 2" xfId="863" xr:uid="{F52171F0-769E-4554-8003-08C2D0ACEB9C}"/>
    <cellStyle name="Millares 37 2 2 4" xfId="627" xr:uid="{6AAC8F75-103F-44A0-8AAA-94C52BD64AC2}"/>
    <cellStyle name="Millares 37 2 3" xfId="214" xr:uid="{0E75CABA-3CA3-49E6-9E1B-8301FBCF2D9E}"/>
    <cellStyle name="Millares 37 2 3 2" xfId="450" xr:uid="{CAD3F4F7-BC52-406A-AD6A-AA44D26680D5}"/>
    <cellStyle name="Millares 37 2 3 2 2" xfId="922" xr:uid="{5FCA6B23-8F20-4680-9343-E4F50E600F3E}"/>
    <cellStyle name="Millares 37 2 3 3" xfId="686" xr:uid="{6117D168-A594-43FF-8D2F-26F28FF05A6C}"/>
    <cellStyle name="Millares 37 2 4" xfId="332" xr:uid="{54234E8F-6D36-48ED-8D7B-E8472596FDF9}"/>
    <cellStyle name="Millares 37 2 4 2" xfId="804" xr:uid="{F2EE6D20-7DE1-46EF-BBF5-DC51B4940731}"/>
    <cellStyle name="Millares 37 2 5" xfId="568" xr:uid="{1AD0C202-C4BA-4882-83C7-C7F25388B335}"/>
    <cellStyle name="Millares 38" xfId="41" xr:uid="{00000000-0005-0000-0000-000022000000}"/>
    <cellStyle name="Millares 38 2" xfId="97" xr:uid="{3886FCA5-12B0-4EEF-A2BF-03B9260DE3C5}"/>
    <cellStyle name="Millares 38 2 2" xfId="156" xr:uid="{E752E655-D2DD-45D2-B43F-8DA6C2FA1468}"/>
    <cellStyle name="Millares 38 2 2 2" xfId="274" xr:uid="{B210A453-CB08-4E4B-A83A-14D9BDB2B145}"/>
    <cellStyle name="Millares 38 2 2 2 2" xfId="510" xr:uid="{D1D75A37-F879-4597-84C0-6E9FC9448C20}"/>
    <cellStyle name="Millares 38 2 2 2 2 2" xfId="982" xr:uid="{1F97CA2F-753A-470C-8E37-A055D0AE9D36}"/>
    <cellStyle name="Millares 38 2 2 2 3" xfId="746" xr:uid="{65601596-D486-4DD4-8769-E4B8940DFD78}"/>
    <cellStyle name="Millares 38 2 2 3" xfId="392" xr:uid="{5F0A647D-FBC2-478A-949E-3B178C4B8672}"/>
    <cellStyle name="Millares 38 2 2 3 2" xfId="864" xr:uid="{0894D741-CD53-478D-A678-0583A2721A8D}"/>
    <cellStyle name="Millares 38 2 2 4" xfId="628" xr:uid="{16C80EE4-B6C7-49F8-B50A-20F00FB05CC3}"/>
    <cellStyle name="Millares 38 2 3" xfId="215" xr:uid="{331F7D69-CE37-4E87-B161-5876E5E9DE4B}"/>
    <cellStyle name="Millares 38 2 3 2" xfId="451" xr:uid="{9F4F16DA-5226-4EBE-B356-55F17C9063B7}"/>
    <cellStyle name="Millares 38 2 3 2 2" xfId="923" xr:uid="{AD6A5E0F-BB9F-4936-9185-6E3CE8987A2D}"/>
    <cellStyle name="Millares 38 2 3 3" xfId="687" xr:uid="{1677B498-EA05-45D5-B18F-242A9EACC890}"/>
    <cellStyle name="Millares 38 2 4" xfId="333" xr:uid="{27B65F7F-EB4C-4A16-8A2F-33409DF03922}"/>
    <cellStyle name="Millares 38 2 4 2" xfId="805" xr:uid="{E5A0F676-BE6C-4218-929C-B31A29437ABF}"/>
    <cellStyle name="Millares 38 2 5" xfId="569" xr:uid="{EF8515CF-5A45-46F2-BF55-5F5594078BE6}"/>
    <cellStyle name="Millares 39" xfId="42" xr:uid="{00000000-0005-0000-0000-000023000000}"/>
    <cellStyle name="Millares 39 2" xfId="98" xr:uid="{A4188D30-7C2D-48B2-A4FD-F595AD99E947}"/>
    <cellStyle name="Millares 39 2 2" xfId="157" xr:uid="{01B91E79-4F8C-40F1-828C-98CEA90BA307}"/>
    <cellStyle name="Millares 39 2 2 2" xfId="275" xr:uid="{0257B196-16A5-43EF-9414-29D48F65910D}"/>
    <cellStyle name="Millares 39 2 2 2 2" xfId="511" xr:uid="{FE01EED0-ABF2-4E32-838F-48F6F2509EA5}"/>
    <cellStyle name="Millares 39 2 2 2 2 2" xfId="983" xr:uid="{34FC9B66-0FAC-4D7C-B86E-6984B2397468}"/>
    <cellStyle name="Millares 39 2 2 2 3" xfId="747" xr:uid="{25F76B02-B48D-495F-9A5F-DBD469123A80}"/>
    <cellStyle name="Millares 39 2 2 3" xfId="393" xr:uid="{133C29FE-E75B-4AA4-B887-0A888D1F7E76}"/>
    <cellStyle name="Millares 39 2 2 3 2" xfId="865" xr:uid="{6553FF0C-0C81-4DC6-9539-2BB9A7054C74}"/>
    <cellStyle name="Millares 39 2 2 4" xfId="629" xr:uid="{6A396B91-A188-436B-B263-FCE92C4614B5}"/>
    <cellStyle name="Millares 39 2 3" xfId="216" xr:uid="{602E3FC7-BFEC-48C1-B65B-E10313156BC9}"/>
    <cellStyle name="Millares 39 2 3 2" xfId="452" xr:uid="{AA71A601-1C0F-46E7-A67D-A8582B027DBE}"/>
    <cellStyle name="Millares 39 2 3 2 2" xfId="924" xr:uid="{4BDFA57D-E35C-496E-858C-DF375C5C3054}"/>
    <cellStyle name="Millares 39 2 3 3" xfId="688" xr:uid="{3C914E6D-AB8E-41AB-9A50-48B497EF0E1A}"/>
    <cellStyle name="Millares 39 2 4" xfId="334" xr:uid="{8F2BAE2F-93BD-466F-84C0-D232E5841F5B}"/>
    <cellStyle name="Millares 39 2 4 2" xfId="806" xr:uid="{8601E9F2-352C-472A-AF77-E2ED44CF043B}"/>
    <cellStyle name="Millares 39 2 5" xfId="570" xr:uid="{0C6F62F4-20A3-4612-9763-92AEFD0E8DFA}"/>
    <cellStyle name="Millares 4" xfId="7" xr:uid="{00000000-0005-0000-0000-000024000000}"/>
    <cellStyle name="Millares 4 2" xfId="63" xr:uid="{1AC3B911-F093-45FB-B977-6F58665847C8}"/>
    <cellStyle name="Millares 4 2 2" xfId="122" xr:uid="{73E8E85A-ED42-40CD-BBFA-4D9B7D5739EE}"/>
    <cellStyle name="Millares 4 2 2 2" xfId="240" xr:uid="{30550A72-4596-4564-9495-877EECAC4BCF}"/>
    <cellStyle name="Millares 4 2 2 2 2" xfId="476" xr:uid="{018CAF63-BC87-4310-9DFC-5A7BD9C8ECBA}"/>
    <cellStyle name="Millares 4 2 2 2 2 2" xfId="948" xr:uid="{A63FD06F-7F97-465E-840D-DBE22BC12D98}"/>
    <cellStyle name="Millares 4 2 2 2 3" xfId="712" xr:uid="{8ED521B4-0DB2-4BF3-8034-63C602BEAFAB}"/>
    <cellStyle name="Millares 4 2 2 3" xfId="358" xr:uid="{919A17CE-0462-46C8-B074-0B7A321B4C47}"/>
    <cellStyle name="Millares 4 2 2 3 2" xfId="830" xr:uid="{688F3495-8758-494A-AE5B-53E3584A11D2}"/>
    <cellStyle name="Millares 4 2 2 4" xfId="594" xr:uid="{3DCE21BF-C217-454F-AD1F-EEA467099FE4}"/>
    <cellStyle name="Millares 4 2 3" xfId="181" xr:uid="{F192F728-255D-4AE9-B8FE-744043CECE05}"/>
    <cellStyle name="Millares 4 2 3 2" xfId="417" xr:uid="{ECCC7FEC-A2D1-4E8F-9793-DB4744B8AEE0}"/>
    <cellStyle name="Millares 4 2 3 2 2" xfId="889" xr:uid="{BEF4E4F2-0B7D-445C-B0C2-F207EF430EA4}"/>
    <cellStyle name="Millares 4 2 3 3" xfId="653" xr:uid="{0580BD92-ACCF-4D55-83FF-F8E7538CF50F}"/>
    <cellStyle name="Millares 4 2 4" xfId="299" xr:uid="{84FD7F97-3842-4F31-A28B-54AFBC608A25}"/>
    <cellStyle name="Millares 4 2 4 2" xfId="771" xr:uid="{7D18B442-698F-48D9-BE20-561D529F66F7}"/>
    <cellStyle name="Millares 4 2 5" xfId="535" xr:uid="{9F966E74-7F50-4E6F-8A80-9A1AA128CA34}"/>
    <cellStyle name="Millares 40" xfId="43" xr:uid="{00000000-0005-0000-0000-000025000000}"/>
    <cellStyle name="Millares 40 2" xfId="99" xr:uid="{20810048-CE0B-4231-A066-C05C0B6CEFC5}"/>
    <cellStyle name="Millares 40 2 2" xfId="158" xr:uid="{0FC466CA-DA88-4CF6-B456-58D6431A7DD1}"/>
    <cellStyle name="Millares 40 2 2 2" xfId="276" xr:uid="{986DBCC9-1B27-4720-BBEA-B1961AFEE427}"/>
    <cellStyle name="Millares 40 2 2 2 2" xfId="512" xr:uid="{7C0848CE-6626-4D9B-93C5-D6E05C23E765}"/>
    <cellStyle name="Millares 40 2 2 2 2 2" xfId="984" xr:uid="{06623B06-7235-48C3-877E-57915F2B3538}"/>
    <cellStyle name="Millares 40 2 2 2 3" xfId="748" xr:uid="{6F89533E-4DF0-44CF-87A9-C281350A39A5}"/>
    <cellStyle name="Millares 40 2 2 3" xfId="394" xr:uid="{18BACA49-989F-44C6-B028-ADDBCFC76A6C}"/>
    <cellStyle name="Millares 40 2 2 3 2" xfId="866" xr:uid="{AEA394D2-D130-405E-9FE0-A7FEBCA02073}"/>
    <cellStyle name="Millares 40 2 2 4" xfId="630" xr:uid="{F4F891EC-A5AF-4A00-BD7D-2B718A28EC0C}"/>
    <cellStyle name="Millares 40 2 3" xfId="217" xr:uid="{AA619AD7-F9F8-42A2-B50E-77EB34B2411C}"/>
    <cellStyle name="Millares 40 2 3 2" xfId="453" xr:uid="{F47A6F54-7C06-4FB3-947F-CD6B8C799B34}"/>
    <cellStyle name="Millares 40 2 3 2 2" xfId="925" xr:uid="{AEC399F1-2A2A-4EBA-BBE3-81C409A8ED76}"/>
    <cellStyle name="Millares 40 2 3 3" xfId="689" xr:uid="{5B8B4579-028C-4CB9-9FF3-5B31610FB447}"/>
    <cellStyle name="Millares 40 2 4" xfId="335" xr:uid="{DA044693-6D78-4E5C-A68F-B4BF27B44277}"/>
    <cellStyle name="Millares 40 2 4 2" xfId="807" xr:uid="{8CD6936B-C2DC-409E-AD1C-06D40CB9932C}"/>
    <cellStyle name="Millares 40 2 5" xfId="571" xr:uid="{0A09031B-F228-4E4C-85B0-0032F5B3A644}"/>
    <cellStyle name="Millares 41" xfId="44" xr:uid="{00000000-0005-0000-0000-000026000000}"/>
    <cellStyle name="Millares 41 2" xfId="100" xr:uid="{03191B2C-5D83-463B-AD21-CB20F53FB5CC}"/>
    <cellStyle name="Millares 41 2 2" xfId="159" xr:uid="{547EA26A-92B9-49B7-9F57-B93BF6685E74}"/>
    <cellStyle name="Millares 41 2 2 2" xfId="277" xr:uid="{0EAEB05C-76E3-4B9B-BE3C-1AB0EA96188F}"/>
    <cellStyle name="Millares 41 2 2 2 2" xfId="513" xr:uid="{13A0FAA2-9EF6-4D79-BC81-302A1C73C743}"/>
    <cellStyle name="Millares 41 2 2 2 2 2" xfId="985" xr:uid="{C259AAEC-36A3-4F31-BC27-BD87D0342F4E}"/>
    <cellStyle name="Millares 41 2 2 2 3" xfId="749" xr:uid="{27A819E3-43AB-4687-A558-7E2284789A44}"/>
    <cellStyle name="Millares 41 2 2 3" xfId="395" xr:uid="{48309A1D-60DA-496C-A46F-6837C13FF92E}"/>
    <cellStyle name="Millares 41 2 2 3 2" xfId="867" xr:uid="{29610729-B90E-4373-A59D-726BBC0183ED}"/>
    <cellStyle name="Millares 41 2 2 4" xfId="631" xr:uid="{6F478A22-6B4A-4724-9533-F1204D7AE458}"/>
    <cellStyle name="Millares 41 2 3" xfId="218" xr:uid="{4BDE636F-FBD5-4EF9-8DBB-6CAB17DAE6F1}"/>
    <cellStyle name="Millares 41 2 3 2" xfId="454" xr:uid="{A4FD6D5D-571B-4398-82A6-469B34BB9299}"/>
    <cellStyle name="Millares 41 2 3 2 2" xfId="926" xr:uid="{4100760C-7892-4884-B5DC-AB9A2E056474}"/>
    <cellStyle name="Millares 41 2 3 3" xfId="690" xr:uid="{928C9C61-2E5C-46F3-BCB9-60B0F49FD75E}"/>
    <cellStyle name="Millares 41 2 4" xfId="336" xr:uid="{BED1AD4E-B12B-4ABE-A2EC-8F0D7B6E4D77}"/>
    <cellStyle name="Millares 41 2 4 2" xfId="808" xr:uid="{2A1F85D0-4DA6-47AC-9A5A-847A4650C258}"/>
    <cellStyle name="Millares 41 2 5" xfId="572" xr:uid="{87486FB3-3806-4496-A642-9C51BF21FD26}"/>
    <cellStyle name="Millares 42" xfId="45" xr:uid="{00000000-0005-0000-0000-000027000000}"/>
    <cellStyle name="Millares 42 2" xfId="101" xr:uid="{4C04E4F3-6FCE-4A50-8780-41DF33931F21}"/>
    <cellStyle name="Millares 42 2 2" xfId="160" xr:uid="{CDCB56DC-C368-4FF5-B60A-80584EB0DF06}"/>
    <cellStyle name="Millares 42 2 2 2" xfId="278" xr:uid="{4FB6394C-B810-49CB-8267-B517CA3A7BC9}"/>
    <cellStyle name="Millares 42 2 2 2 2" xfId="514" xr:uid="{A21FE192-4A46-4B44-BE13-5E8D3098166D}"/>
    <cellStyle name="Millares 42 2 2 2 2 2" xfId="986" xr:uid="{80956EB7-6496-48CA-8362-4B2B85052813}"/>
    <cellStyle name="Millares 42 2 2 2 3" xfId="750" xr:uid="{343E5E98-5899-42CB-9D86-94783A97803D}"/>
    <cellStyle name="Millares 42 2 2 3" xfId="396" xr:uid="{F5D2FD84-3B06-4210-8EEE-5FDA07C5407D}"/>
    <cellStyle name="Millares 42 2 2 3 2" xfId="868" xr:uid="{B52AE85B-D06F-43D0-B999-50CEFBBACBD8}"/>
    <cellStyle name="Millares 42 2 2 4" xfId="632" xr:uid="{4D5C339B-F756-4B33-B2EF-84591345E795}"/>
    <cellStyle name="Millares 42 2 3" xfId="219" xr:uid="{031AB540-C997-49B4-B83C-5882B9EB54E8}"/>
    <cellStyle name="Millares 42 2 3 2" xfId="455" xr:uid="{455753AD-2538-4CEE-8702-D3B1112845F2}"/>
    <cellStyle name="Millares 42 2 3 2 2" xfId="927" xr:uid="{2E6E334B-D41A-4D94-932E-1AAE81B6CABB}"/>
    <cellStyle name="Millares 42 2 3 3" xfId="691" xr:uid="{5A0426B6-9D76-44A5-83E5-B6F349E8CDEB}"/>
    <cellStyle name="Millares 42 2 4" xfId="337" xr:uid="{CE9494DD-08CB-48DB-8DAD-6683173185E5}"/>
    <cellStyle name="Millares 42 2 4 2" xfId="809" xr:uid="{BB36E500-70CB-4D44-99B7-6FF0153A8F24}"/>
    <cellStyle name="Millares 42 2 5" xfId="573" xr:uid="{9C16DB5D-AF9F-42C5-9E6A-21E5E7EB18DF}"/>
    <cellStyle name="Millares 43" xfId="46" xr:uid="{00000000-0005-0000-0000-000028000000}"/>
    <cellStyle name="Millares 43 2" xfId="102" xr:uid="{EE20B3B4-D917-43B1-953B-D61786A784E9}"/>
    <cellStyle name="Millares 43 2 2" xfId="161" xr:uid="{061386F0-E148-46DE-ABF2-9B4FE18EBE12}"/>
    <cellStyle name="Millares 43 2 2 2" xfId="279" xr:uid="{3A7FC3BF-766D-4948-A6F5-9D1D9ECDB5B1}"/>
    <cellStyle name="Millares 43 2 2 2 2" xfId="515" xr:uid="{C0BEB4AC-851A-471F-9332-D8AC05BED3B3}"/>
    <cellStyle name="Millares 43 2 2 2 2 2" xfId="987" xr:uid="{C43949A1-CE60-47F8-91CA-1ECA8CEC95D0}"/>
    <cellStyle name="Millares 43 2 2 2 3" xfId="751" xr:uid="{AA5A64AA-4970-4F7C-B4C4-EAB9B1E370A5}"/>
    <cellStyle name="Millares 43 2 2 3" xfId="397" xr:uid="{59266BF4-F7B8-42D7-8FA7-41957562913A}"/>
    <cellStyle name="Millares 43 2 2 3 2" xfId="869" xr:uid="{5722D39A-C948-47A8-9FDF-D0EC59B6C19F}"/>
    <cellStyle name="Millares 43 2 2 4" xfId="633" xr:uid="{E397F6F0-861D-4915-A237-68F433A9AD3E}"/>
    <cellStyle name="Millares 43 2 3" xfId="220" xr:uid="{3F4C7F9C-56D7-4C0C-AC38-23C7C87FB26A}"/>
    <cellStyle name="Millares 43 2 3 2" xfId="456" xr:uid="{1B3F89B6-97B2-4148-8705-10018DA811B3}"/>
    <cellStyle name="Millares 43 2 3 2 2" xfId="928" xr:uid="{CE828FA1-892A-41DE-8E03-1EF9169586E5}"/>
    <cellStyle name="Millares 43 2 3 3" xfId="692" xr:uid="{A94FFA02-164A-4ECD-82FF-1C5F36CE7E57}"/>
    <cellStyle name="Millares 43 2 4" xfId="338" xr:uid="{806EF366-3C14-4A41-9074-C2E35725E547}"/>
    <cellStyle name="Millares 43 2 4 2" xfId="810" xr:uid="{D16C93D7-9CA9-48EF-9115-7149937BDA50}"/>
    <cellStyle name="Millares 43 2 5" xfId="574" xr:uid="{E1A8D387-EF28-4802-B4FD-990FE723F835}"/>
    <cellStyle name="Millares 44" xfId="47" xr:uid="{00000000-0005-0000-0000-000029000000}"/>
    <cellStyle name="Millares 44 2" xfId="103" xr:uid="{8603083B-29BA-4C89-AEB3-B19EB5039777}"/>
    <cellStyle name="Millares 44 2 2" xfId="162" xr:uid="{4D1CCABA-71EA-4E65-B05B-1E2CDC73C079}"/>
    <cellStyle name="Millares 44 2 2 2" xfId="280" xr:uid="{A17DFD46-38F8-46A1-8C8F-3FC067D68A64}"/>
    <cellStyle name="Millares 44 2 2 2 2" xfId="516" xr:uid="{6C2B6EFD-6C99-4130-9FCD-91EF74B92012}"/>
    <cellStyle name="Millares 44 2 2 2 2 2" xfId="988" xr:uid="{2FC772C2-9A51-43B3-9292-C382C8817EC7}"/>
    <cellStyle name="Millares 44 2 2 2 3" xfId="752" xr:uid="{64FD5F68-F720-4089-B4CB-771EF7B67C73}"/>
    <cellStyle name="Millares 44 2 2 3" xfId="398" xr:uid="{1D684493-00DB-4931-83D9-BA2B8E3B1A5C}"/>
    <cellStyle name="Millares 44 2 2 3 2" xfId="870" xr:uid="{61AF6D74-F0C4-4084-BACC-8086DA0D66C1}"/>
    <cellStyle name="Millares 44 2 2 4" xfId="634" xr:uid="{714B035F-6779-44FB-B6D9-E4D53079FAD0}"/>
    <cellStyle name="Millares 44 2 3" xfId="221" xr:uid="{7E29E12D-B9B7-4D9E-867C-E12CF42F22C3}"/>
    <cellStyle name="Millares 44 2 3 2" xfId="457" xr:uid="{FC63076D-6660-4DA2-A034-4D3F7EA31662}"/>
    <cellStyle name="Millares 44 2 3 2 2" xfId="929" xr:uid="{8030E65B-7983-4F82-9959-393FE7233445}"/>
    <cellStyle name="Millares 44 2 3 3" xfId="693" xr:uid="{C9B5CEF1-F7EA-4A92-830B-5058C9B40EBB}"/>
    <cellStyle name="Millares 44 2 4" xfId="339" xr:uid="{2B2D2409-BAD8-4740-BA5F-3335435CE9A3}"/>
    <cellStyle name="Millares 44 2 4 2" xfId="811" xr:uid="{AE3DFECB-D5D9-4919-AABA-9B0805970E66}"/>
    <cellStyle name="Millares 44 2 5" xfId="575" xr:uid="{67251BEA-7501-452C-8E8E-88A8E567283F}"/>
    <cellStyle name="Millares 45" xfId="48" xr:uid="{00000000-0005-0000-0000-00002A000000}"/>
    <cellStyle name="Millares 45 2" xfId="104" xr:uid="{A8C4E2C5-5900-4C37-B0AD-DF4308B00AB3}"/>
    <cellStyle name="Millares 45 2 2" xfId="163" xr:uid="{C4070A49-C770-43DB-9E1A-9B036678B44F}"/>
    <cellStyle name="Millares 45 2 2 2" xfId="281" xr:uid="{05DCD3A5-4528-4C18-A96F-FAF99E42CD66}"/>
    <cellStyle name="Millares 45 2 2 2 2" xfId="517" xr:uid="{DA7300FF-12A9-460D-8B99-4B8C1CA5AC57}"/>
    <cellStyle name="Millares 45 2 2 2 2 2" xfId="989" xr:uid="{863681FD-B377-4878-BEEA-2A8858A1E5DD}"/>
    <cellStyle name="Millares 45 2 2 2 3" xfId="753" xr:uid="{55ED0B43-8DCC-4372-B974-09491CE04B9E}"/>
    <cellStyle name="Millares 45 2 2 3" xfId="399" xr:uid="{93A8E3EA-DD45-4C5F-8CA6-AF30FD3AA673}"/>
    <cellStyle name="Millares 45 2 2 3 2" xfId="871" xr:uid="{E9252900-C0AA-40F5-A455-4C2D49DCCB13}"/>
    <cellStyle name="Millares 45 2 2 4" xfId="635" xr:uid="{4D6C04BB-1816-4D9A-9501-BAD2026678EB}"/>
    <cellStyle name="Millares 45 2 3" xfId="222" xr:uid="{D55E1935-2E11-4BE7-954F-582245F1F3B7}"/>
    <cellStyle name="Millares 45 2 3 2" xfId="458" xr:uid="{8E793F45-907A-43D9-9B4F-E73B7070D1C5}"/>
    <cellStyle name="Millares 45 2 3 2 2" xfId="930" xr:uid="{301C14EC-79C3-4F6C-A24C-0CAAF890450C}"/>
    <cellStyle name="Millares 45 2 3 3" xfId="694" xr:uid="{176618FA-E46D-46CF-89C3-E0D5CF716D65}"/>
    <cellStyle name="Millares 45 2 4" xfId="340" xr:uid="{E0201018-51E3-4751-876F-378D7EA6B71E}"/>
    <cellStyle name="Millares 45 2 4 2" xfId="812" xr:uid="{E8CF4DAC-BE33-4D31-A1D6-63AB3046AC26}"/>
    <cellStyle name="Millares 45 2 5" xfId="576" xr:uid="{0130963A-F18C-4C37-B615-3FD96178ED92}"/>
    <cellStyle name="Millares 46" xfId="49" xr:uid="{00000000-0005-0000-0000-00002B000000}"/>
    <cellStyle name="Millares 46 2" xfId="105" xr:uid="{DFBFF625-B972-4771-BE48-D816167568B1}"/>
    <cellStyle name="Millares 46 2 2" xfId="164" xr:uid="{E6465A33-59E0-40C7-8058-B15E0DF384E4}"/>
    <cellStyle name="Millares 46 2 2 2" xfId="282" xr:uid="{2F071EE3-0B1A-4C61-B949-921334ED368D}"/>
    <cellStyle name="Millares 46 2 2 2 2" xfId="518" xr:uid="{B05974CC-06F0-49F3-9436-2CA5EFB4CAC2}"/>
    <cellStyle name="Millares 46 2 2 2 2 2" xfId="990" xr:uid="{4D6DAB05-DC02-45BE-B9A2-B1B43C282294}"/>
    <cellStyle name="Millares 46 2 2 2 3" xfId="754" xr:uid="{353087CF-63A8-4C9B-BAD2-F470050A8688}"/>
    <cellStyle name="Millares 46 2 2 3" xfId="400" xr:uid="{A4310626-6EA7-4DA0-B938-B9E9CFB181FB}"/>
    <cellStyle name="Millares 46 2 2 3 2" xfId="872" xr:uid="{500DE07E-681B-4353-89E8-CCBBE8E7A094}"/>
    <cellStyle name="Millares 46 2 2 4" xfId="636" xr:uid="{159A9FE0-BFF6-4450-B0EC-B03D94486E51}"/>
    <cellStyle name="Millares 46 2 3" xfId="223" xr:uid="{9465FC29-F86A-4ACB-90AD-B2F835CCE531}"/>
    <cellStyle name="Millares 46 2 3 2" xfId="459" xr:uid="{9551820D-0BA1-45D1-9ADC-C9936B1BAA4C}"/>
    <cellStyle name="Millares 46 2 3 2 2" xfId="931" xr:uid="{8D4523BA-AE3E-4DE8-8909-CFBAC0DB90F8}"/>
    <cellStyle name="Millares 46 2 3 3" xfId="695" xr:uid="{CD3C9A6F-F17D-445C-B08F-B394DA7E09C4}"/>
    <cellStyle name="Millares 46 2 4" xfId="341" xr:uid="{CBC3B5F5-141B-4905-8CC7-DD17C1FB8D73}"/>
    <cellStyle name="Millares 46 2 4 2" xfId="813" xr:uid="{2F434A58-84A0-4ABD-8246-E9D87AE0EA80}"/>
    <cellStyle name="Millares 46 2 5" xfId="577" xr:uid="{0E12DC5D-9638-44B4-8FD4-1A9EEC73B13F}"/>
    <cellStyle name="Millares 47" xfId="50" xr:uid="{00000000-0005-0000-0000-00002C000000}"/>
    <cellStyle name="Millares 47 2" xfId="106" xr:uid="{CC61766C-82C7-4E49-BDA8-D6891926135C}"/>
    <cellStyle name="Millares 47 2 2" xfId="165" xr:uid="{B3C55781-86F1-4153-BA8F-2079A5761118}"/>
    <cellStyle name="Millares 47 2 2 2" xfId="283" xr:uid="{93F07954-E456-4C00-81BA-E855482FA5F1}"/>
    <cellStyle name="Millares 47 2 2 2 2" xfId="519" xr:uid="{26E32524-B511-44B3-9D5D-DCA9016060DC}"/>
    <cellStyle name="Millares 47 2 2 2 2 2" xfId="991" xr:uid="{AAC84F55-4AE0-4073-9BD4-CF49AD9C809D}"/>
    <cellStyle name="Millares 47 2 2 2 3" xfId="755" xr:uid="{DD831F4E-CF8F-49EF-A429-4DA9EA6390BA}"/>
    <cellStyle name="Millares 47 2 2 3" xfId="401" xr:uid="{B1D72C92-5259-4CB7-8EBC-434DED895F22}"/>
    <cellStyle name="Millares 47 2 2 3 2" xfId="873" xr:uid="{996FFAFD-EED9-4B27-9CC3-7A80A3213DFD}"/>
    <cellStyle name="Millares 47 2 2 4" xfId="637" xr:uid="{7A683239-1FB2-4E1D-886B-F3A3486191A4}"/>
    <cellStyle name="Millares 47 2 3" xfId="224" xr:uid="{3C6A65F0-B601-4212-9066-8A6DC3D8004F}"/>
    <cellStyle name="Millares 47 2 3 2" xfId="460" xr:uid="{6DA8E736-1D16-4408-ADA7-95A8D1A8C379}"/>
    <cellStyle name="Millares 47 2 3 2 2" xfId="932" xr:uid="{96B2A7B7-D172-4FE3-B98E-809C10984217}"/>
    <cellStyle name="Millares 47 2 3 3" xfId="696" xr:uid="{8FC76863-58FA-4A5E-915A-0B8785143360}"/>
    <cellStyle name="Millares 47 2 4" xfId="342" xr:uid="{9003ED92-6DE5-4F9F-B0AB-655BE2F4F6FC}"/>
    <cellStyle name="Millares 47 2 4 2" xfId="814" xr:uid="{78315064-D277-4853-9CE1-8746CB4FBA23}"/>
    <cellStyle name="Millares 47 2 5" xfId="578" xr:uid="{514FC738-C324-401B-9170-685B64B4DF4C}"/>
    <cellStyle name="Millares 48" xfId="51" xr:uid="{00000000-0005-0000-0000-00002D000000}"/>
    <cellStyle name="Millares 48 2" xfId="107" xr:uid="{A80F327E-8F4F-48D5-A2BE-F64110EE3BE2}"/>
    <cellStyle name="Millares 48 2 2" xfId="166" xr:uid="{EB12044F-77FB-4984-9854-48EBA4CF33F6}"/>
    <cellStyle name="Millares 48 2 2 2" xfId="284" xr:uid="{8F4FE775-B0E9-4A22-9DDC-615A4236BE86}"/>
    <cellStyle name="Millares 48 2 2 2 2" xfId="520" xr:uid="{46EE0C3D-AE80-48E2-9114-44EBE906BB30}"/>
    <cellStyle name="Millares 48 2 2 2 2 2" xfId="992" xr:uid="{076C547C-E8A5-454D-B31A-072EF9E46EE9}"/>
    <cellStyle name="Millares 48 2 2 2 3" xfId="756" xr:uid="{43DA6B83-61B3-466C-8BEC-B39ACBE2EAFE}"/>
    <cellStyle name="Millares 48 2 2 3" xfId="402" xr:uid="{F92D4321-4FE9-4ABA-B3D2-D406C0C1655C}"/>
    <cellStyle name="Millares 48 2 2 3 2" xfId="874" xr:uid="{28090DCD-C030-4FD2-97D4-E1C513FCE5CC}"/>
    <cellStyle name="Millares 48 2 2 4" xfId="638" xr:uid="{172053B3-E2AE-44FC-86F8-79DDC9F3F9D9}"/>
    <cellStyle name="Millares 48 2 3" xfId="225" xr:uid="{99295EAA-ABD1-44A5-AABB-6FB81EDE2525}"/>
    <cellStyle name="Millares 48 2 3 2" xfId="461" xr:uid="{E4E6EB26-B7D8-4FEB-9B6B-2B1677F925AD}"/>
    <cellStyle name="Millares 48 2 3 2 2" xfId="933" xr:uid="{57D9A541-A4DB-4632-B96F-B026A0530876}"/>
    <cellStyle name="Millares 48 2 3 3" xfId="697" xr:uid="{62FF1C40-6BBC-426A-88F2-F71232679982}"/>
    <cellStyle name="Millares 48 2 4" xfId="343" xr:uid="{8BB2FC60-3988-47AA-A7D2-A5CE12F2BBB3}"/>
    <cellStyle name="Millares 48 2 4 2" xfId="815" xr:uid="{DDD45B38-4002-40A3-8A55-0A275ABFAE0F}"/>
    <cellStyle name="Millares 48 2 5" xfId="579" xr:uid="{8EA1D5B1-4200-4E23-8C29-259CB306D846}"/>
    <cellStyle name="Millares 49" xfId="52" xr:uid="{00000000-0005-0000-0000-00002E000000}"/>
    <cellStyle name="Millares 49 2" xfId="108" xr:uid="{AF24F35C-C9DA-454F-B436-79ECEC98D391}"/>
    <cellStyle name="Millares 49 2 2" xfId="167" xr:uid="{D8EB1168-7302-4598-88AB-0F56BE17308F}"/>
    <cellStyle name="Millares 49 2 2 2" xfId="285" xr:uid="{484F783D-1583-418F-94D2-F245D0C1983D}"/>
    <cellStyle name="Millares 49 2 2 2 2" xfId="521" xr:uid="{C6A5A797-1BBF-47D9-B8CA-C61B6D7EE442}"/>
    <cellStyle name="Millares 49 2 2 2 2 2" xfId="993" xr:uid="{E21C917E-A3B0-45D0-A6FB-37A54551BF6D}"/>
    <cellStyle name="Millares 49 2 2 2 3" xfId="757" xr:uid="{824BFC50-11EC-4A6C-B50B-2D6780BA7BEE}"/>
    <cellStyle name="Millares 49 2 2 3" xfId="403" xr:uid="{D8A67A8C-A46F-40A9-B5A1-B7892FB7088D}"/>
    <cellStyle name="Millares 49 2 2 3 2" xfId="875" xr:uid="{03580ED5-13B1-4CF3-8D0E-67D59DE2F5B6}"/>
    <cellStyle name="Millares 49 2 2 4" xfId="639" xr:uid="{61BC4955-F23C-422C-A603-A3937184E48E}"/>
    <cellStyle name="Millares 49 2 3" xfId="226" xr:uid="{D6EF4A85-6A6D-42C7-9A19-8DE434F77F2A}"/>
    <cellStyle name="Millares 49 2 3 2" xfId="462" xr:uid="{6C9D6A32-AFED-4FDC-A7E0-53CB93E8E48B}"/>
    <cellStyle name="Millares 49 2 3 2 2" xfId="934" xr:uid="{3B0476A2-1013-492B-9E00-B8DDC4D158F3}"/>
    <cellStyle name="Millares 49 2 3 3" xfId="698" xr:uid="{A8B65552-0955-41B4-B10A-94E079179E57}"/>
    <cellStyle name="Millares 49 2 4" xfId="344" xr:uid="{087252CA-D3FC-4EEA-800C-62542DD0634D}"/>
    <cellStyle name="Millares 49 2 4 2" xfId="816" xr:uid="{F6A3FD26-4E2F-4D49-8C2F-B2B8997FDE5E}"/>
    <cellStyle name="Millares 49 2 5" xfId="580" xr:uid="{3A282259-5D68-4225-A2FA-BB35785A7684}"/>
    <cellStyle name="Millares 5" xfId="8" xr:uid="{00000000-0005-0000-0000-00002F000000}"/>
    <cellStyle name="Millares 5 2" xfId="64" xr:uid="{92C67971-9D32-49E2-BCB4-6293EA630607}"/>
    <cellStyle name="Millares 5 2 2" xfId="123" xr:uid="{342A3ECC-0C12-4BA5-A79D-897C59405380}"/>
    <cellStyle name="Millares 5 2 2 2" xfId="241" xr:uid="{DCD4550B-43CB-4027-928F-328B5E32C397}"/>
    <cellStyle name="Millares 5 2 2 2 2" xfId="477" xr:uid="{09BDBD8E-3FF5-4D79-987A-BA94A8300137}"/>
    <cellStyle name="Millares 5 2 2 2 2 2" xfId="949" xr:uid="{4CBE008D-31B4-409A-B5CC-FB4D1157099B}"/>
    <cellStyle name="Millares 5 2 2 2 3" xfId="713" xr:uid="{0C48FDB8-81B6-46B0-B08A-101B85B77FCD}"/>
    <cellStyle name="Millares 5 2 2 3" xfId="359" xr:uid="{0CDD4713-A8EF-4EA4-A299-C62343D7E71C}"/>
    <cellStyle name="Millares 5 2 2 3 2" xfId="831" xr:uid="{7506C3F2-4F51-4EEB-AEA2-9FC02F30FE9D}"/>
    <cellStyle name="Millares 5 2 2 4" xfId="595" xr:uid="{B5F52913-01CB-46B9-9F65-06DFA20CCD26}"/>
    <cellStyle name="Millares 5 2 3" xfId="182" xr:uid="{6D267044-60A8-4892-BE00-204D6C11B2C7}"/>
    <cellStyle name="Millares 5 2 3 2" xfId="418" xr:uid="{4E72D52C-5176-4B97-ABCE-AE8016585C6A}"/>
    <cellStyle name="Millares 5 2 3 2 2" xfId="890" xr:uid="{1C168099-7BBD-4AF2-AE39-63C04153878B}"/>
    <cellStyle name="Millares 5 2 3 3" xfId="654" xr:uid="{7A62AB34-34B0-4525-9EAA-435FB284A7A1}"/>
    <cellStyle name="Millares 5 2 4" xfId="300" xr:uid="{92E853DA-0F61-4D2F-BDE3-653FD7A9B08B}"/>
    <cellStyle name="Millares 5 2 4 2" xfId="772" xr:uid="{D4D4389D-EEF9-402D-B29A-F9B1FF205155}"/>
    <cellStyle name="Millares 5 2 5" xfId="536" xr:uid="{E5954358-C3D3-4E49-8220-514264926B26}"/>
    <cellStyle name="Millares 50" xfId="53" xr:uid="{00000000-0005-0000-0000-000030000000}"/>
    <cellStyle name="Millares 50 2" xfId="109" xr:uid="{37F8903D-C806-401F-9EB6-93CF497E306E}"/>
    <cellStyle name="Millares 50 2 2" xfId="168" xr:uid="{CD28F43E-0752-4E17-A8C1-E073C7828EE2}"/>
    <cellStyle name="Millares 50 2 2 2" xfId="286" xr:uid="{928E877E-CC89-44CD-89FE-3F42FC4B303A}"/>
    <cellStyle name="Millares 50 2 2 2 2" xfId="522" xr:uid="{EA7F5F44-843E-4FB3-8983-194BB0F6B506}"/>
    <cellStyle name="Millares 50 2 2 2 2 2" xfId="994" xr:uid="{EFD3202C-538B-42AF-B61F-88C56C770073}"/>
    <cellStyle name="Millares 50 2 2 2 3" xfId="758" xr:uid="{CFA872C6-C867-4331-BFAE-08B6B146224E}"/>
    <cellStyle name="Millares 50 2 2 3" xfId="404" xr:uid="{56AABB40-DCE0-4DF2-A299-E351FA02A74A}"/>
    <cellStyle name="Millares 50 2 2 3 2" xfId="876" xr:uid="{7A7B68E3-CA8F-4D74-BE4F-27CF33D577A6}"/>
    <cellStyle name="Millares 50 2 2 4" xfId="640" xr:uid="{C5053728-B57A-4743-9DB0-71C430B485D2}"/>
    <cellStyle name="Millares 50 2 3" xfId="227" xr:uid="{ECEC40BD-852B-44E0-9F63-6BE55B7E7A4A}"/>
    <cellStyle name="Millares 50 2 3 2" xfId="463" xr:uid="{38F5846C-74F2-4FFD-A90F-30BC68AE15E2}"/>
    <cellStyle name="Millares 50 2 3 2 2" xfId="935" xr:uid="{D9437932-3292-457C-AF1B-0E4EF759DC6C}"/>
    <cellStyle name="Millares 50 2 3 3" xfId="699" xr:uid="{4237B91E-78C9-4AFF-8FD5-A5E0C023643F}"/>
    <cellStyle name="Millares 50 2 4" xfId="345" xr:uid="{B46F5F25-D4C0-4B54-BC3A-7E43E4060346}"/>
    <cellStyle name="Millares 50 2 4 2" xfId="817" xr:uid="{F69FEFDC-9808-4639-917B-BA09A5C70DDD}"/>
    <cellStyle name="Millares 50 2 5" xfId="581" xr:uid="{63037D77-938D-4333-8996-DC7A71AF0189}"/>
    <cellStyle name="Millares 51" xfId="54" xr:uid="{00000000-0005-0000-0000-000031000000}"/>
    <cellStyle name="Millares 51 2" xfId="110" xr:uid="{DF7793AE-CCB8-4ADB-BFE7-CE20B260AF18}"/>
    <cellStyle name="Millares 51 2 2" xfId="169" xr:uid="{8D9CBD32-225C-468E-8FAF-39CBB293F295}"/>
    <cellStyle name="Millares 51 2 2 2" xfId="287" xr:uid="{9CC536E7-6FC3-4D58-BF97-205E46BEB0F5}"/>
    <cellStyle name="Millares 51 2 2 2 2" xfId="523" xr:uid="{41C3584B-AAEC-4057-A765-BC27B0E6D64E}"/>
    <cellStyle name="Millares 51 2 2 2 2 2" xfId="995" xr:uid="{EBC2982E-0C23-4AAA-AC22-BA822D5F9F7E}"/>
    <cellStyle name="Millares 51 2 2 2 3" xfId="759" xr:uid="{3466D8DA-466A-4985-ABDC-FE211CD1D5B4}"/>
    <cellStyle name="Millares 51 2 2 3" xfId="405" xr:uid="{B20935C3-6007-4133-8E32-6A46E821A2D8}"/>
    <cellStyle name="Millares 51 2 2 3 2" xfId="877" xr:uid="{AEFA2B6C-9C81-4B0D-8FA2-B8497C93DC03}"/>
    <cellStyle name="Millares 51 2 2 4" xfId="641" xr:uid="{CD28D55F-CC8D-4A69-808D-A11D11564C00}"/>
    <cellStyle name="Millares 51 2 3" xfId="228" xr:uid="{944A2E7A-B936-4443-AC60-9E1C669DFB28}"/>
    <cellStyle name="Millares 51 2 3 2" xfId="464" xr:uid="{9B4280FE-DBF3-4FAD-A0A4-B9953E407D7A}"/>
    <cellStyle name="Millares 51 2 3 2 2" xfId="936" xr:uid="{6E1F0B2E-961B-4E0D-B33F-A48586E3E308}"/>
    <cellStyle name="Millares 51 2 3 3" xfId="700" xr:uid="{92BC8FFE-80F8-45E3-8D0A-420A09B29521}"/>
    <cellStyle name="Millares 51 2 4" xfId="346" xr:uid="{BFD9C94B-5337-4B27-A3E5-A1D2D16B4225}"/>
    <cellStyle name="Millares 51 2 4 2" xfId="818" xr:uid="{4CD5498A-D43F-44CD-A327-4F3172A6BB3E}"/>
    <cellStyle name="Millares 51 2 5" xfId="582" xr:uid="{ED4B56DC-BCC0-4F90-8AFB-5CEC940038BF}"/>
    <cellStyle name="Millares 52" xfId="55" xr:uid="{00000000-0005-0000-0000-000032000000}"/>
    <cellStyle name="Millares 52 2" xfId="111" xr:uid="{82BAD945-6AE0-4F19-B30F-13C520105487}"/>
    <cellStyle name="Millares 52 2 2" xfId="170" xr:uid="{1718604E-45E9-41DF-9961-F08C8731D930}"/>
    <cellStyle name="Millares 52 2 2 2" xfId="288" xr:uid="{7FD89072-5265-4370-BE9F-FAC62230BC46}"/>
    <cellStyle name="Millares 52 2 2 2 2" xfId="524" xr:uid="{11AAB009-088A-490A-BBA8-4F05D827A8D7}"/>
    <cellStyle name="Millares 52 2 2 2 2 2" xfId="996" xr:uid="{7518EEAC-ECA2-440F-A073-2B7662D1AFE7}"/>
    <cellStyle name="Millares 52 2 2 2 3" xfId="760" xr:uid="{0A46852D-92B7-48EC-A083-57370B20AEF1}"/>
    <cellStyle name="Millares 52 2 2 3" xfId="406" xr:uid="{925030F8-EF9D-4E59-87E3-204EDB36F943}"/>
    <cellStyle name="Millares 52 2 2 3 2" xfId="878" xr:uid="{16064FE4-2A15-4A14-A23C-DF667A3BE8A9}"/>
    <cellStyle name="Millares 52 2 2 4" xfId="642" xr:uid="{8A4C5D0C-21B2-4FA9-83AB-79EB57A7C2F4}"/>
    <cellStyle name="Millares 52 2 3" xfId="229" xr:uid="{B6ED029C-4BDA-4FDD-99B3-0121493E783D}"/>
    <cellStyle name="Millares 52 2 3 2" xfId="465" xr:uid="{EE76739E-E165-4466-869A-E7CBC12CA90A}"/>
    <cellStyle name="Millares 52 2 3 2 2" xfId="937" xr:uid="{C8C88B2B-50CA-42C1-801C-119C2796B102}"/>
    <cellStyle name="Millares 52 2 3 3" xfId="701" xr:uid="{13F6039B-4120-4D49-B556-B2D32DE6A800}"/>
    <cellStyle name="Millares 52 2 4" xfId="347" xr:uid="{2DC608E8-72DA-42D9-ADDE-5E4EAFA74881}"/>
    <cellStyle name="Millares 52 2 4 2" xfId="819" xr:uid="{CCF0F415-2AAE-451C-BCDC-56A89C8EFB0B}"/>
    <cellStyle name="Millares 52 2 5" xfId="583" xr:uid="{425EB9EB-68FD-4D7B-BC04-D0DF8E73D607}"/>
    <cellStyle name="Millares 52 3" xfId="114" xr:uid="{CE905BDE-7D0F-4632-B320-E6F966F4D2F3}"/>
    <cellStyle name="Millares 52 3 2" xfId="173" xr:uid="{FF58D2C8-4AAB-4050-8ED4-87AF6E1F5E16}"/>
    <cellStyle name="Millares 52 3 2 2" xfId="291" xr:uid="{5E729AFD-EC32-41AB-9558-9D966CDB5FFA}"/>
    <cellStyle name="Millares 52 3 2 2 2" xfId="527" xr:uid="{20E35F6A-F849-4C33-9A28-F9CCDB8597BB}"/>
    <cellStyle name="Millares 52 3 2 2 2 2" xfId="999" xr:uid="{2F1E98A6-4C28-4795-B72B-B11BB586E648}"/>
    <cellStyle name="Millares 52 3 2 2 3" xfId="763" xr:uid="{ED917D8B-F69E-4B0E-AFDB-330E00825C34}"/>
    <cellStyle name="Millares 52 3 2 3" xfId="409" xr:uid="{4D0BBCC1-AE98-4037-9872-5DB1A1078B6F}"/>
    <cellStyle name="Millares 52 3 2 3 2" xfId="881" xr:uid="{7DA40C75-4431-4E3A-B288-85ED8A21EE26}"/>
    <cellStyle name="Millares 52 3 2 4" xfId="645" xr:uid="{06EC15DB-D1FC-43DA-A20F-7CF178215F76}"/>
    <cellStyle name="Millares 52 3 3" xfId="232" xr:uid="{C7B2992D-FFE5-462F-A22C-50281E9A5267}"/>
    <cellStyle name="Millares 52 3 3 2" xfId="468" xr:uid="{54E9CE6D-CFB5-4343-8CC5-547264CB849A}"/>
    <cellStyle name="Millares 52 3 3 2 2" xfId="940" xr:uid="{239C72A6-8B9F-4EBD-BBE2-F5BA0ADAD653}"/>
    <cellStyle name="Millares 52 3 3 3" xfId="704" xr:uid="{BF26268D-D3D1-44AE-A88C-4AC0BDD2B595}"/>
    <cellStyle name="Millares 52 3 4" xfId="350" xr:uid="{6258A37E-B584-4A4C-95C3-1104B7B6C13A}"/>
    <cellStyle name="Millares 52 3 4 2" xfId="822" xr:uid="{69741E57-8F13-4B7F-98BA-576628215880}"/>
    <cellStyle name="Millares 52 3 5" xfId="586" xr:uid="{BEDFB928-7FFD-4F65-BE29-9918EF8A9088}"/>
    <cellStyle name="Millares 52 4" xfId="117" xr:uid="{8B0F990D-F7D6-4F88-BFE6-C52AC40A4496}"/>
    <cellStyle name="Millares 52 4 2" xfId="235" xr:uid="{C5CD7162-AEA8-4FDB-8F6D-AA82D8B08507}"/>
    <cellStyle name="Millares 52 4 2 2" xfId="471" xr:uid="{7D7864F4-51D1-43CD-A853-D27FE84740C7}"/>
    <cellStyle name="Millares 52 4 2 2 2" xfId="943" xr:uid="{20F18C23-3831-4D1C-BBA3-60E9A0A08B6D}"/>
    <cellStyle name="Millares 52 4 2 3" xfId="707" xr:uid="{C50C47D0-12B2-414E-9450-95E5380FF16E}"/>
    <cellStyle name="Millares 52 4 3" xfId="353" xr:uid="{B06EBFF6-6E7B-45FE-9257-3D63889D9BCE}"/>
    <cellStyle name="Millares 52 4 3 2" xfId="825" xr:uid="{6B08F5E5-3B05-4FBD-9407-06BE838F7026}"/>
    <cellStyle name="Millares 52 4 4" xfId="589" xr:uid="{A468335A-2ABB-4A29-8C39-9A8C3739AC4C}"/>
    <cellStyle name="Millares 52 5" xfId="176" xr:uid="{2C544AFB-C845-4623-817C-7103949C2AD9}"/>
    <cellStyle name="Millares 52 5 2" xfId="412" xr:uid="{2A009F92-BEF3-4E25-BDB1-9FC53FB39263}"/>
    <cellStyle name="Millares 52 5 2 2" xfId="884" xr:uid="{CBE8736A-1046-453B-AC60-1D5BAE74E6BC}"/>
    <cellStyle name="Millares 52 5 3" xfId="648" xr:uid="{6279FB67-BC75-4036-A71E-EB14AE567508}"/>
    <cellStyle name="Millares 52 6" xfId="294" xr:uid="{5AF9D480-1D39-4176-877B-5057EBFEA605}"/>
    <cellStyle name="Millares 52 6 2" xfId="766" xr:uid="{F8B1A9F2-AB69-47C1-935C-514892F0BFF7}"/>
    <cellStyle name="Millares 52 7" xfId="530" xr:uid="{8FBA5C9A-B051-4D4E-8AD0-099EBDDF6DE5}"/>
    <cellStyle name="Millares 53" xfId="58" xr:uid="{00000000-0005-0000-0000-000033000000}"/>
    <cellStyle name="Millares 53 2" xfId="113" xr:uid="{A8CA5145-F2ED-4CFC-A5FC-FB9A21B93BF0}"/>
    <cellStyle name="Millares 53 2 2" xfId="172" xr:uid="{B5B9C8E2-5C0F-45F1-8625-EBFDC6B0D9A4}"/>
    <cellStyle name="Millares 53 2 2 2" xfId="290" xr:uid="{901D7386-0156-4AF1-8524-1499DA0BBBE9}"/>
    <cellStyle name="Millares 53 2 2 2 2" xfId="526" xr:uid="{69CE8922-BD8B-4131-BC00-658F42FC9941}"/>
    <cellStyle name="Millares 53 2 2 2 2 2" xfId="998" xr:uid="{ED8838F7-0CBE-4114-B505-D61B7664040C}"/>
    <cellStyle name="Millares 53 2 2 2 3" xfId="762" xr:uid="{B7336132-B9BF-4D18-B8F7-AA142676A6AC}"/>
    <cellStyle name="Millares 53 2 2 3" xfId="408" xr:uid="{D99B27CC-C577-44BA-8E7D-1CECFC571C5F}"/>
    <cellStyle name="Millares 53 2 2 3 2" xfId="880" xr:uid="{2BF9ED01-346E-4E3E-91F5-7EF3C8764787}"/>
    <cellStyle name="Millares 53 2 2 4" xfId="644" xr:uid="{6A50BBD1-3ABC-4C68-8611-B2CCC6CAFA8C}"/>
    <cellStyle name="Millares 53 2 3" xfId="231" xr:uid="{87033984-A15D-4ECE-96E0-C768FDB790A9}"/>
    <cellStyle name="Millares 53 2 3 2" xfId="467" xr:uid="{6AC64A5F-4269-41F4-A38B-7C3AD717AF52}"/>
    <cellStyle name="Millares 53 2 3 2 2" xfId="939" xr:uid="{D475F37A-56EB-46D5-996A-168EA2753953}"/>
    <cellStyle name="Millares 53 2 3 3" xfId="703" xr:uid="{9921FC9B-B526-4426-AB6E-ADDC3666F8D5}"/>
    <cellStyle name="Millares 53 2 4" xfId="349" xr:uid="{08B564BC-D7C0-4B94-BD2F-F4CB0103A084}"/>
    <cellStyle name="Millares 53 2 4 2" xfId="821" xr:uid="{673ADC34-FFC5-4A45-BB2C-96789CCCA510}"/>
    <cellStyle name="Millares 53 2 5" xfId="585" xr:uid="{E77C1AF1-931B-4068-A3A2-B3FD574E3571}"/>
    <cellStyle name="Millares 53 3" xfId="116" xr:uid="{921C729D-32AD-4D05-AEB2-A80466B3D6F9}"/>
    <cellStyle name="Millares 53 3 2" xfId="175" xr:uid="{6B25C9A8-52C0-47ED-9025-2A029B439E4E}"/>
    <cellStyle name="Millares 53 3 2 2" xfId="293" xr:uid="{79AEBA1B-555E-4B58-B125-E8B3651330CB}"/>
    <cellStyle name="Millares 53 3 2 2 2" xfId="529" xr:uid="{5E311D9B-5A6C-41C1-89FC-7EFCEE0FA55C}"/>
    <cellStyle name="Millares 53 3 2 2 2 2" xfId="1001" xr:uid="{ADBA7B74-8641-4AFC-8A23-182A876CA419}"/>
    <cellStyle name="Millares 53 3 2 2 3" xfId="765" xr:uid="{C52F9547-5949-499E-9077-2FDBB958064F}"/>
    <cellStyle name="Millares 53 3 2 3" xfId="411" xr:uid="{7B52D7CA-5C0C-4071-9682-2FD26CCD8C41}"/>
    <cellStyle name="Millares 53 3 2 3 2" xfId="883" xr:uid="{EAA618F8-FA9F-43FB-941E-495070880ACC}"/>
    <cellStyle name="Millares 53 3 2 4" xfId="647" xr:uid="{79A7E0B9-B4AA-427E-84E3-D4D9FAC9A5D6}"/>
    <cellStyle name="Millares 53 3 3" xfId="234" xr:uid="{70ABA6DD-35B9-4171-A7A5-42B8DE55DCE7}"/>
    <cellStyle name="Millares 53 3 3 2" xfId="470" xr:uid="{AA7CF03E-B1F9-4805-A120-DE61687522F2}"/>
    <cellStyle name="Millares 53 3 3 2 2" xfId="942" xr:uid="{49EFCB44-3D7C-4C54-8BFF-AE66BA311FCA}"/>
    <cellStyle name="Millares 53 3 3 3" xfId="706" xr:uid="{DE4515B2-2F72-4AD7-8828-2763AAA6BACB}"/>
    <cellStyle name="Millares 53 3 4" xfId="352" xr:uid="{C088AAC1-2C1A-41D1-939D-5ECF3B76607F}"/>
    <cellStyle name="Millares 53 3 4 2" xfId="824" xr:uid="{A538FD54-D5B8-45C6-819F-B43D5164F0E6}"/>
    <cellStyle name="Millares 53 3 5" xfId="588" xr:uid="{9016BD43-22D9-4273-B928-9C1B1B83B3C9}"/>
    <cellStyle name="Millares 53 4" xfId="119" xr:uid="{2C807526-E70B-46AE-9BAF-A5C11190651D}"/>
    <cellStyle name="Millares 53 4 2" xfId="237" xr:uid="{E3A71636-B4F1-45AB-80AD-D9DD63155A18}"/>
    <cellStyle name="Millares 53 4 2 2" xfId="473" xr:uid="{5B641C1E-5A59-4FEF-BA86-1E5664F16C13}"/>
    <cellStyle name="Millares 53 4 2 2 2" xfId="945" xr:uid="{BECF2804-0C63-47B8-8D95-9C06C4D1B1BE}"/>
    <cellStyle name="Millares 53 4 2 3" xfId="709" xr:uid="{90D26E2E-0542-4AFC-952E-880A42D1AA62}"/>
    <cellStyle name="Millares 53 4 3" xfId="355" xr:uid="{6CF6EF00-E927-4BCA-9F8C-066B0A8617AF}"/>
    <cellStyle name="Millares 53 4 3 2" xfId="827" xr:uid="{3C859328-DEA2-4D5A-9EFE-F4CCC9EFB11D}"/>
    <cellStyle name="Millares 53 4 4" xfId="591" xr:uid="{3B529131-E5E3-406D-A27A-25099F9D8C01}"/>
    <cellStyle name="Millares 53 5" xfId="178" xr:uid="{620D2CF3-5B3E-4D6E-9F67-A82CB26D76FB}"/>
    <cellStyle name="Millares 53 5 2" xfId="414" xr:uid="{1A6B9EC3-6A9D-4A36-9C32-8BB540D5B8BB}"/>
    <cellStyle name="Millares 53 5 2 2" xfId="886" xr:uid="{8B5B3E6B-D2B3-481F-B373-5C8DBB7C1D03}"/>
    <cellStyle name="Millares 53 5 3" xfId="650" xr:uid="{7DCA8E58-39EE-4305-B95A-E31CDC9CBB02}"/>
    <cellStyle name="Millares 53 6" xfId="296" xr:uid="{E016A90C-1E3B-4545-92D0-A0B4DA86706D}"/>
    <cellStyle name="Millares 53 6 2" xfId="768" xr:uid="{050B40C1-4BCF-4B8D-A87A-083BA88545B4}"/>
    <cellStyle name="Millares 53 7" xfId="532" xr:uid="{C967137C-A612-4090-8763-C6DF57E33237}"/>
    <cellStyle name="Millares 54" xfId="1002" xr:uid="{4CEF22B5-2219-4E22-817C-3B69973A1B68}"/>
    <cellStyle name="Millares 55" xfId="1003" xr:uid="{7F22D2D5-9E55-4392-8B71-A0B2BEEE9725}"/>
    <cellStyle name="Millares 56" xfId="1004" xr:uid="{3017BF32-B772-4020-82AA-96012B8952C7}"/>
    <cellStyle name="Millares 6" xfId="9" xr:uid="{00000000-0005-0000-0000-000034000000}"/>
    <cellStyle name="Millares 6 2" xfId="65" xr:uid="{0A9EED05-D2D2-4C3B-B0C0-E8BB84BD1026}"/>
    <cellStyle name="Millares 6 2 2" xfId="124" xr:uid="{FE8C6F37-A9C0-4433-91AE-20E815C5D65B}"/>
    <cellStyle name="Millares 6 2 2 2" xfId="242" xr:uid="{F70CF371-53B4-4AEB-AC0C-37B9FC8D24FE}"/>
    <cellStyle name="Millares 6 2 2 2 2" xfId="478" xr:uid="{755DB4EA-DBA8-4B3D-A78E-925F3B5535F9}"/>
    <cellStyle name="Millares 6 2 2 2 2 2" xfId="950" xr:uid="{6AAE74D9-9396-493A-BDF8-15DA09DA11A9}"/>
    <cellStyle name="Millares 6 2 2 2 3" xfId="714" xr:uid="{A7879C37-A5B7-4227-990C-6C734E8371B1}"/>
    <cellStyle name="Millares 6 2 2 3" xfId="360" xr:uid="{4C5EAF30-6116-499F-BB71-409D07D293C7}"/>
    <cellStyle name="Millares 6 2 2 3 2" xfId="832" xr:uid="{3E08752F-3E0C-422C-97E0-B4C181AF26AA}"/>
    <cellStyle name="Millares 6 2 2 4" xfId="596" xr:uid="{7F8059BB-0DE8-4E1A-941C-C31A304A578D}"/>
    <cellStyle name="Millares 6 2 3" xfId="183" xr:uid="{D7BA30E9-2502-447D-8AEB-A7F715E0F7E2}"/>
    <cellStyle name="Millares 6 2 3 2" xfId="419" xr:uid="{48A46AF3-CED7-4F35-88D8-D7AAE1207A71}"/>
    <cellStyle name="Millares 6 2 3 2 2" xfId="891" xr:uid="{4D8F1AF3-0BB2-4D39-9440-8C0173859A18}"/>
    <cellStyle name="Millares 6 2 3 3" xfId="655" xr:uid="{D134FDA4-F00B-4403-9F25-DB83EEB35DBF}"/>
    <cellStyle name="Millares 6 2 4" xfId="301" xr:uid="{09DBDD43-3985-4A1C-B97A-941E936BC5E6}"/>
    <cellStyle name="Millares 6 2 4 2" xfId="773" xr:uid="{AB951361-565A-47A2-9B89-8D668D518D0E}"/>
    <cellStyle name="Millares 6 2 5" xfId="537" xr:uid="{6092896B-CCF1-488A-9C3A-F108F51904CB}"/>
    <cellStyle name="Millares 7" xfId="10" xr:uid="{00000000-0005-0000-0000-000035000000}"/>
    <cellStyle name="Millares 7 2" xfId="66" xr:uid="{BF9B3B7F-B9C6-4704-8375-ABB40D61977D}"/>
    <cellStyle name="Millares 7 2 2" xfId="125" xr:uid="{6C5A4576-02DC-483F-B136-AC0FC57EB730}"/>
    <cellStyle name="Millares 7 2 2 2" xfId="243" xr:uid="{6E510F20-1365-464F-B19F-05AE2D6CA482}"/>
    <cellStyle name="Millares 7 2 2 2 2" xfId="479" xr:uid="{8DA71298-A188-4A83-8DF5-F47B10F08ABA}"/>
    <cellStyle name="Millares 7 2 2 2 2 2" xfId="951" xr:uid="{14E331EA-6B60-4CA2-9574-D01A06EAC33E}"/>
    <cellStyle name="Millares 7 2 2 2 3" xfId="715" xr:uid="{CD586437-C8E6-4BD2-A271-8EB08BF33CCD}"/>
    <cellStyle name="Millares 7 2 2 3" xfId="361" xr:uid="{E51A4F3A-BF35-4DEA-B50A-A18D71AFBCAF}"/>
    <cellStyle name="Millares 7 2 2 3 2" xfId="833" xr:uid="{5E977D5E-1CB0-4E7B-8BD2-EF253F270183}"/>
    <cellStyle name="Millares 7 2 2 4" xfId="597" xr:uid="{24CAC81B-B221-402E-95CA-B7B622E30D24}"/>
    <cellStyle name="Millares 7 2 3" xfId="184" xr:uid="{9DAE3534-4877-416F-B073-87488E8E2D1B}"/>
    <cellStyle name="Millares 7 2 3 2" xfId="420" xr:uid="{63F05B08-56F4-4CAD-9EFD-C6E45909312C}"/>
    <cellStyle name="Millares 7 2 3 2 2" xfId="892" xr:uid="{215497CD-92A4-4C8C-A28E-7140036BB7C9}"/>
    <cellStyle name="Millares 7 2 3 3" xfId="656" xr:uid="{FFA1F288-B63E-4FED-8DFF-8C3DE848BD00}"/>
    <cellStyle name="Millares 7 2 4" xfId="302" xr:uid="{69E3FA0F-C693-492C-A33B-3AC0F8B3E80A}"/>
    <cellStyle name="Millares 7 2 4 2" xfId="774" xr:uid="{B27CE19C-8EA4-4A14-8131-6D60D01AB11B}"/>
    <cellStyle name="Millares 7 2 5" xfId="538" xr:uid="{B9DA7B11-502A-45FD-93DA-ED535A2704D9}"/>
    <cellStyle name="Millares 8" xfId="11" xr:uid="{00000000-0005-0000-0000-000036000000}"/>
    <cellStyle name="Millares 8 2" xfId="67" xr:uid="{DA4D762E-1B82-48B2-9831-BC125415DBA5}"/>
    <cellStyle name="Millares 8 2 2" xfId="126" xr:uid="{1FA19706-BECE-43BA-9CED-CE2E604BDF9A}"/>
    <cellStyle name="Millares 8 2 2 2" xfId="244" xr:uid="{C49AF0FB-FFB6-4693-B995-425D0E3016F7}"/>
    <cellStyle name="Millares 8 2 2 2 2" xfId="480" xr:uid="{BB902093-0AED-4A74-B221-DD70CE47745C}"/>
    <cellStyle name="Millares 8 2 2 2 2 2" xfId="952" xr:uid="{81F83088-955F-4D94-85A0-12BAD398E554}"/>
    <cellStyle name="Millares 8 2 2 2 3" xfId="716" xr:uid="{56110007-51D5-4C89-AA17-851BA63BCA38}"/>
    <cellStyle name="Millares 8 2 2 3" xfId="362" xr:uid="{D218D2E7-BD53-4398-B409-6B445EEBBB72}"/>
    <cellStyle name="Millares 8 2 2 3 2" xfId="834" xr:uid="{DA9DF0FC-FB9E-4E61-BBBA-16913EE54D63}"/>
    <cellStyle name="Millares 8 2 2 4" xfId="598" xr:uid="{81ABF1F8-7ED2-4059-B3C4-AD4889FA80FF}"/>
    <cellStyle name="Millares 8 2 3" xfId="185" xr:uid="{4439B3AB-958C-470D-ADA8-29FC0E7045DE}"/>
    <cellStyle name="Millares 8 2 3 2" xfId="421" xr:uid="{2D4F634D-9DBE-4338-AE46-F1AD633C5C59}"/>
    <cellStyle name="Millares 8 2 3 2 2" xfId="893" xr:uid="{70E1E704-404B-42A5-B724-DD134B27D15D}"/>
    <cellStyle name="Millares 8 2 3 3" xfId="657" xr:uid="{E729522D-B64B-4607-9F19-57422CCFB877}"/>
    <cellStyle name="Millares 8 2 4" xfId="303" xr:uid="{8BAC3A6A-7A04-481B-94B5-E9C4F5DB2F91}"/>
    <cellStyle name="Millares 8 2 4 2" xfId="775" xr:uid="{D83816D5-B900-487E-BBCE-DBE1934A5FBF}"/>
    <cellStyle name="Millares 8 2 5" xfId="539" xr:uid="{69C32225-56CD-44E5-AC2F-38FC7DF98849}"/>
    <cellStyle name="Millares 9" xfId="12" xr:uid="{00000000-0005-0000-0000-000037000000}"/>
    <cellStyle name="Millares 9 2" xfId="68" xr:uid="{022AAF6B-E2BB-4A72-893E-4F22250D48D6}"/>
    <cellStyle name="Millares 9 2 2" xfId="127" xr:uid="{91B92EF4-B587-422B-A4D8-C9A4691C9731}"/>
    <cellStyle name="Millares 9 2 2 2" xfId="245" xr:uid="{9BCD9942-A1AC-405A-9350-391062F4BA37}"/>
    <cellStyle name="Millares 9 2 2 2 2" xfId="481" xr:uid="{48A87DE7-4603-4CC0-B50D-327D1B8768AD}"/>
    <cellStyle name="Millares 9 2 2 2 2 2" xfId="953" xr:uid="{B2618390-4FAF-4DBB-85B4-0DB189235D19}"/>
    <cellStyle name="Millares 9 2 2 2 3" xfId="717" xr:uid="{2E9C2940-0C40-4CF8-A598-8A417679F704}"/>
    <cellStyle name="Millares 9 2 2 3" xfId="363" xr:uid="{488C6B41-E846-4412-9A72-92664F9CA908}"/>
    <cellStyle name="Millares 9 2 2 3 2" xfId="835" xr:uid="{501F5080-B215-4FC6-8DD8-14DC9DF5B282}"/>
    <cellStyle name="Millares 9 2 2 4" xfId="599" xr:uid="{95727BDD-2C73-4BB6-924B-9D7152874DEF}"/>
    <cellStyle name="Millares 9 2 3" xfId="186" xr:uid="{390B87AA-A6E6-496B-B4E0-C6F12175E825}"/>
    <cellStyle name="Millares 9 2 3 2" xfId="422" xr:uid="{0FC4ECFB-3E43-4A93-8CA0-35D8C4E007A7}"/>
    <cellStyle name="Millares 9 2 3 2 2" xfId="894" xr:uid="{E5A49440-AD50-441C-8F2C-9CCD28835E67}"/>
    <cellStyle name="Millares 9 2 3 3" xfId="658" xr:uid="{8CB5991A-B641-429D-9D29-AF3E6AD0B391}"/>
    <cellStyle name="Millares 9 2 4" xfId="304" xr:uid="{F1A51A67-0CC8-4181-99A6-B1D0590F1B26}"/>
    <cellStyle name="Millares 9 2 4 2" xfId="776" xr:uid="{3D5269CC-D4D1-454C-8511-AA2583B5D3B4}"/>
    <cellStyle name="Millares 9 2 5" xfId="540" xr:uid="{858B3249-43E9-466C-AD66-F90AE9C80927}"/>
    <cellStyle name="Moneda" xfId="56" builtinId="4"/>
    <cellStyle name="Moneda 2" xfId="112" xr:uid="{0089A874-69DC-4083-9793-691418D0689A}"/>
    <cellStyle name="Moneda 2 2" xfId="171" xr:uid="{76560027-76FC-4DBB-87F3-BF2428E07C98}"/>
    <cellStyle name="Moneda 2 2 2" xfId="289" xr:uid="{F9DE5989-333B-4AB7-A403-EF9EA6B48A1A}"/>
    <cellStyle name="Moneda 2 2 2 2" xfId="525" xr:uid="{72AE1393-1A46-45AE-8A8A-B0EBEA36FC72}"/>
    <cellStyle name="Moneda 2 2 2 2 2" xfId="997" xr:uid="{12830A0C-371D-44AD-848F-65AE8D8D390D}"/>
    <cellStyle name="Moneda 2 2 2 3" xfId="761" xr:uid="{921E2E1F-8C2A-4F5B-9DE6-16AD412B0FC0}"/>
    <cellStyle name="Moneda 2 2 3" xfId="407" xr:uid="{2C2D5DA2-A4EF-48E5-873C-1B47CDB8561C}"/>
    <cellStyle name="Moneda 2 2 3 2" xfId="879" xr:uid="{8D336718-463B-4CF0-B2BF-84CAC83987B3}"/>
    <cellStyle name="Moneda 2 2 4" xfId="643" xr:uid="{DE12507A-88DA-4FE8-9B2C-72006F1103E6}"/>
    <cellStyle name="Moneda 2 3" xfId="230" xr:uid="{AD4CE0AC-9CD5-4A1D-9101-FBB8322DAC56}"/>
    <cellStyle name="Moneda 2 3 2" xfId="466" xr:uid="{CB9775CD-BABA-4F89-A9EF-DB5E0D5C4759}"/>
    <cellStyle name="Moneda 2 3 2 2" xfId="938" xr:uid="{F71C3F48-23B4-468C-A644-306A35B0EB71}"/>
    <cellStyle name="Moneda 2 3 3" xfId="702" xr:uid="{F203ECA6-32CE-4B49-8659-A84C6C810E7C}"/>
    <cellStyle name="Moneda 2 4" xfId="348" xr:uid="{6818AE57-2DCA-47F6-89D3-FA5B54533642}"/>
    <cellStyle name="Moneda 2 4 2" xfId="820" xr:uid="{875A4512-B708-4E77-A917-D99B086A18B3}"/>
    <cellStyle name="Moneda 2 5" xfId="584" xr:uid="{A032D4F7-2701-493C-957A-0673494B7D3D}"/>
    <cellStyle name="Moneda 3" xfId="115" xr:uid="{DF55444C-7579-4B31-9356-7E33489B0B96}"/>
    <cellStyle name="Moneda 3 2" xfId="174" xr:uid="{A477FE29-5D03-40FB-A93B-96150C6A7D55}"/>
    <cellStyle name="Moneda 3 2 2" xfId="292" xr:uid="{1AA0D07E-207C-463D-BDEF-394F67D29660}"/>
    <cellStyle name="Moneda 3 2 2 2" xfId="528" xr:uid="{10CDD07D-E598-431E-B396-165C33967054}"/>
    <cellStyle name="Moneda 3 2 2 2 2" xfId="1000" xr:uid="{CE590EFC-BEB6-4488-BD54-9E98E4011A64}"/>
    <cellStyle name="Moneda 3 2 2 3" xfId="764" xr:uid="{B5757F38-0310-48EB-99F7-5FFB910015E5}"/>
    <cellStyle name="Moneda 3 2 3" xfId="410" xr:uid="{BC82F9B2-D99E-4BDC-94E1-831F142F2DBE}"/>
    <cellStyle name="Moneda 3 2 3 2" xfId="882" xr:uid="{456131A5-056E-4313-8004-770E51279533}"/>
    <cellStyle name="Moneda 3 2 4" xfId="646" xr:uid="{DB751395-C013-4B81-93B2-EB14F9682D9F}"/>
    <cellStyle name="Moneda 3 3" xfId="233" xr:uid="{DD6AEBD0-6814-4DBE-9361-690E8971632C}"/>
    <cellStyle name="Moneda 3 3 2" xfId="469" xr:uid="{A039A1D2-11E5-48B4-9E93-D3D0F95D0AA7}"/>
    <cellStyle name="Moneda 3 3 2 2" xfId="941" xr:uid="{CEF4E49D-CA0B-422A-A318-2E1A4FDC2362}"/>
    <cellStyle name="Moneda 3 3 3" xfId="705" xr:uid="{1FEE9EAD-3C62-4847-A829-EC9217970408}"/>
    <cellStyle name="Moneda 3 4" xfId="351" xr:uid="{CE504343-99CA-42FD-B0DD-98BAD0A0EB90}"/>
    <cellStyle name="Moneda 3 4 2" xfId="823" xr:uid="{984A7F2F-D46D-4C74-AF91-507AA071E51C}"/>
    <cellStyle name="Moneda 3 5" xfId="587" xr:uid="{418F472F-3424-482B-ADEE-AC91921BA0E3}"/>
    <cellStyle name="Moneda 4" xfId="118" xr:uid="{A6BBD44E-B779-4432-B7F8-6B94FB9F020A}"/>
    <cellStyle name="Moneda 4 2" xfId="236" xr:uid="{FB8F443A-9E10-4837-A554-841A9C6924FF}"/>
    <cellStyle name="Moneda 4 2 2" xfId="472" xr:uid="{3534697D-ACCD-4E9C-BAF7-13AC02850DD2}"/>
    <cellStyle name="Moneda 4 2 2 2" xfId="944" xr:uid="{7C6DAE06-1BCB-4D69-8126-7FAA38E6800A}"/>
    <cellStyle name="Moneda 4 2 3" xfId="708" xr:uid="{BC6A7612-ED7D-4DDF-8EA8-CCC77C96ACCD}"/>
    <cellStyle name="Moneda 4 3" xfId="354" xr:uid="{82230CC4-B1FE-4961-8BAF-D0B8A82D5E8F}"/>
    <cellStyle name="Moneda 4 3 2" xfId="826" xr:uid="{63C5F669-476B-4503-95F2-2D9DB3B40203}"/>
    <cellStyle name="Moneda 4 4" xfId="590" xr:uid="{6882DB30-3906-4A2F-A0E7-DBC1FDCBA950}"/>
    <cellStyle name="Moneda 5" xfId="177" xr:uid="{646D3550-AADA-49D9-A1A2-6C6D42EC8FB2}"/>
    <cellStyle name="Moneda 5 2" xfId="413" xr:uid="{19CDBA3D-357C-40E0-A2DC-DEE68198A90C}"/>
    <cellStyle name="Moneda 5 2 2" xfId="885" xr:uid="{3F57BCBC-9CB7-4A33-9FAE-A3685D2DF82E}"/>
    <cellStyle name="Moneda 5 3" xfId="649" xr:uid="{75485BEA-FB0C-4B0A-86B2-A2C70838538B}"/>
    <cellStyle name="Moneda 6" xfId="295" xr:uid="{B7025F9D-2684-4B14-87AA-800CAA70AC31}"/>
    <cellStyle name="Moneda 6 2" xfId="767" xr:uid="{1BE65A84-DAC5-478B-8C54-A6A746B860AF}"/>
    <cellStyle name="Moneda 7" xfId="531" xr:uid="{FE107B97-24D0-41A2-B940-3B4D34612F40}"/>
    <cellStyle name="Normal" xfId="0" builtinId="0"/>
    <cellStyle name="Normal 4" xfId="5" xr:uid="{00000000-0005-0000-0000-00003A000000}"/>
    <cellStyle name="Normal 4 3" xfId="59" xr:uid="{00000000-0005-0000-0000-00003B000000}"/>
    <cellStyle name="Normal 82" xfId="60" xr:uid="{00000000-0005-0000-0000-00003C000000}"/>
    <cellStyle name="Normal_Hoja2" xfId="1005" xr:uid="{36B509E6-2E50-4B80-8F3D-9D920DFDA36E}"/>
  </cellStyles>
  <dxfs count="0"/>
  <tableStyles count="0" defaultTableStyle="TableStyleMedium2" defaultPivotStyle="PivotStyleLight16"/>
  <colors>
    <mruColors>
      <color rgb="FF66FFCC"/>
      <color rgb="FF66FFFF"/>
      <color rgb="FFCCFF33"/>
      <color rgb="FFFF99FF"/>
      <color rgb="FF99FFCC"/>
      <color rgb="FFFFCCFF"/>
      <color rgb="FFCCECFF"/>
      <color rgb="FFFFFFFF"/>
      <color rgb="FFFFCC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245267</xdr:colOff>
      <xdr:row>28</xdr:row>
      <xdr:rowOff>67204</xdr:rowOff>
    </xdr:from>
    <xdr:ext cx="3620320" cy="1495018"/>
    <xdr:pic>
      <xdr:nvPicPr>
        <xdr:cNvPr id="2" name="Imagen 1">
          <a:extLst>
            <a:ext uri="{FF2B5EF4-FFF2-40B4-BE49-F238E27FC236}">
              <a16:creationId xmlns:a16="http://schemas.microsoft.com/office/drawing/2014/main" id="{59BC7291-1183-40D7-B4E7-B502B1117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1042" y="5401204"/>
          <a:ext cx="3620320" cy="149501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16</xdr:row>
      <xdr:rowOff>0</xdr:rowOff>
    </xdr:from>
    <xdr:to>
      <xdr:col>20</xdr:col>
      <xdr:colOff>304800</xdr:colOff>
      <xdr:row>17</xdr:row>
      <xdr:rowOff>123825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3E97F460-BD99-C91B-2A4E-14728AA82692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87086</xdr:colOff>
      <xdr:row>0</xdr:row>
      <xdr:rowOff>65314</xdr:rowOff>
    </xdr:from>
    <xdr:to>
      <xdr:col>10</xdr:col>
      <xdr:colOff>179597</xdr:colOff>
      <xdr:row>11</xdr:row>
      <xdr:rowOff>110125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B25FCD-C0E8-95AA-4C2A-725406B16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6" y="65314"/>
          <a:ext cx="12360711" cy="208044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</xdr:colOff>
      <xdr:row>11</xdr:row>
      <xdr:rowOff>130629</xdr:rowOff>
    </xdr:from>
    <xdr:to>
      <xdr:col>10</xdr:col>
      <xdr:colOff>193747</xdr:colOff>
      <xdr:row>22</xdr:row>
      <xdr:rowOff>183062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42FFAC-253A-B885-D9F7-170BA8D12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7" y="2166258"/>
          <a:ext cx="12353090" cy="2088061"/>
        </a:xfrm>
        <a:prstGeom prst="rect">
          <a:avLst/>
        </a:prstGeom>
      </xdr:spPr>
    </xdr:pic>
    <xdr:clientData/>
  </xdr:twoCellAnchor>
  <xdr:twoCellAnchor editAs="oneCell">
    <xdr:from>
      <xdr:col>0</xdr:col>
      <xdr:colOff>97972</xdr:colOff>
      <xdr:row>0</xdr:row>
      <xdr:rowOff>43543</xdr:rowOff>
    </xdr:from>
    <xdr:to>
      <xdr:col>10</xdr:col>
      <xdr:colOff>190483</xdr:colOff>
      <xdr:row>11</xdr:row>
      <xdr:rowOff>88354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CB4A424-3BD5-3063-2F2A-BDFD98317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72" y="43543"/>
          <a:ext cx="12360711" cy="2080440"/>
        </a:xfrm>
        <a:prstGeom prst="rect">
          <a:avLst/>
        </a:prstGeom>
      </xdr:spPr>
    </xdr:pic>
    <xdr:clientData/>
  </xdr:twoCellAnchor>
  <xdr:twoCellAnchor editAs="oneCell">
    <xdr:from>
      <xdr:col>0</xdr:col>
      <xdr:colOff>119743</xdr:colOff>
      <xdr:row>11</xdr:row>
      <xdr:rowOff>108858</xdr:rowOff>
    </xdr:from>
    <xdr:to>
      <xdr:col>10</xdr:col>
      <xdr:colOff>204633</xdr:colOff>
      <xdr:row>22</xdr:row>
      <xdr:rowOff>161291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DEDA492-CC22-1029-D0FC-C3D5D285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743" y="2144487"/>
          <a:ext cx="12353090" cy="20880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159</xdr:row>
      <xdr:rowOff>0</xdr:rowOff>
    </xdr:from>
    <xdr:to>
      <xdr:col>16</xdr:col>
      <xdr:colOff>304800</xdr:colOff>
      <xdr:row>160</xdr:row>
      <xdr:rowOff>114300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CDA075B6-E1DB-CF39-858A-5440B12008BE}"/>
            </a:ext>
          </a:extLst>
        </xdr:cNvPr>
        <xdr:cNvSpPr>
          <a:spLocks noChangeAspect="1" noChangeArrowheads="1"/>
        </xdr:cNvSpPr>
      </xdr:nvSpPr>
      <xdr:spPr bwMode="auto">
        <a:xfrm>
          <a:off x="121920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304799</xdr:colOff>
      <xdr:row>0</xdr:row>
      <xdr:rowOff>96982</xdr:rowOff>
    </xdr:from>
    <xdr:to>
      <xdr:col>7</xdr:col>
      <xdr:colOff>667605</xdr:colOff>
      <xdr:row>25</xdr:row>
      <xdr:rowOff>166651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671BAF-C436-595B-32F5-4832E22D2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799" y="96982"/>
          <a:ext cx="5890770" cy="4572396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0</xdr:row>
      <xdr:rowOff>163286</xdr:rowOff>
    </xdr:from>
    <xdr:to>
      <xdr:col>14</xdr:col>
      <xdr:colOff>732026</xdr:colOff>
      <xdr:row>26</xdr:row>
      <xdr:rowOff>107092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2FB753-28A2-F63D-1E08-BA6938C17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0" y="163286"/>
          <a:ext cx="5837426" cy="4755292"/>
        </a:xfrm>
        <a:prstGeom prst="rect">
          <a:avLst/>
        </a:prstGeom>
      </xdr:spPr>
    </xdr:pic>
    <xdr:clientData/>
  </xdr:twoCellAnchor>
  <xdr:twoCellAnchor editAs="oneCell">
    <xdr:from>
      <xdr:col>0</xdr:col>
      <xdr:colOff>250371</xdr:colOff>
      <xdr:row>27</xdr:row>
      <xdr:rowOff>65314</xdr:rowOff>
    </xdr:from>
    <xdr:to>
      <xdr:col>7</xdr:col>
      <xdr:colOff>692845</xdr:colOff>
      <xdr:row>52</xdr:row>
      <xdr:rowOff>34144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A833BB0-E9E0-AF56-CCFF-FA5597260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371" y="5061857"/>
          <a:ext cx="5928874" cy="4595258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272142</xdr:colOff>
      <xdr:row>53</xdr:row>
      <xdr:rowOff>130628</xdr:rowOff>
    </xdr:from>
    <xdr:to>
      <xdr:col>15</xdr:col>
      <xdr:colOff>571456</xdr:colOff>
      <xdr:row>70</xdr:row>
      <xdr:rowOff>131990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BD7527-DB59-CEED-F565-3EE1D6A17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2142" y="9938657"/>
          <a:ext cx="12055885" cy="3147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28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BD2AAEA-944E-4D8B-9BB5-1E3C7C68DB62}"/>
            </a:ext>
          </a:extLst>
        </xdr:cNvPr>
        <xdr:cNvSpPr>
          <a:spLocks noChangeAspect="1" noChangeArrowheads="1"/>
        </xdr:cNvSpPr>
      </xdr:nvSpPr>
      <xdr:spPr bwMode="auto">
        <a:xfrm>
          <a:off x="2286000" y="51625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304800</xdr:colOff>
      <xdr:row>22</xdr:row>
      <xdr:rowOff>121919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F8C23D3-4DEF-4ADF-AD38-A81AF099C90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019550"/>
          <a:ext cx="304800" cy="312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entromg@hot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agrocaucho@hotmail.com" TargetMode="External"/><Relationship Id="rId1" Type="http://schemas.openxmlformats.org/officeDocument/2006/relationships/hyperlink" Target="mailto:cifumigaeirl@hot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amirezjack_33@hotmail.com" TargetMode="External"/><Relationship Id="rId4" Type="http://schemas.openxmlformats.org/officeDocument/2006/relationships/hyperlink" Target="mailto:gpucchun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9A04-37AA-448A-BBC4-FED57071FCF3}">
  <dimension ref="A1:E229"/>
  <sheetViews>
    <sheetView topLeftCell="A210" zoomScaleNormal="100" workbookViewId="0">
      <selection activeCell="B229" sqref="B229"/>
    </sheetView>
  </sheetViews>
  <sheetFormatPr baseColWidth="10" defaultColWidth="11.44140625" defaultRowHeight="14.4"/>
  <cols>
    <col min="1" max="1" width="55.109375" customWidth="1"/>
    <col min="2" max="2" width="34.44140625" customWidth="1"/>
    <col min="3" max="3" width="32" customWidth="1"/>
    <col min="4" max="4" width="31.88671875" customWidth="1"/>
  </cols>
  <sheetData>
    <row r="1" spans="1:4">
      <c r="A1" s="683" t="s">
        <v>0</v>
      </c>
      <c r="B1" s="683"/>
      <c r="C1" s="683"/>
      <c r="D1" s="4"/>
    </row>
    <row r="2" spans="1:4">
      <c r="A2" s="14" t="s">
        <v>1</v>
      </c>
      <c r="B2" s="14" t="s">
        <v>2</v>
      </c>
      <c r="C2" s="14" t="s">
        <v>3</v>
      </c>
      <c r="D2" s="4"/>
    </row>
    <row r="3" spans="1:4">
      <c r="A3" s="14"/>
      <c r="B3" s="14"/>
      <c r="C3" s="14"/>
      <c r="D3" s="4"/>
    </row>
    <row r="4" spans="1:4">
      <c r="A4" s="15" t="s">
        <v>4</v>
      </c>
      <c r="B4" s="5" t="s">
        <v>5</v>
      </c>
      <c r="C4" s="15"/>
      <c r="D4" s="4"/>
    </row>
    <row r="5" spans="1:4">
      <c r="A5" s="15" t="s">
        <v>6</v>
      </c>
      <c r="B5" s="5" t="s">
        <v>7</v>
      </c>
      <c r="C5" s="15"/>
      <c r="D5" s="4"/>
    </row>
    <row r="6" spans="1:4">
      <c r="A6" s="15" t="s">
        <v>8</v>
      </c>
      <c r="B6" s="5" t="s">
        <v>9</v>
      </c>
      <c r="C6" s="15"/>
      <c r="D6" s="4"/>
    </row>
    <row r="7" spans="1:4">
      <c r="A7" s="15" t="s">
        <v>10</v>
      </c>
      <c r="B7" s="15"/>
      <c r="C7" s="15" t="s">
        <v>11</v>
      </c>
      <c r="D7" s="4"/>
    </row>
    <row r="8" spans="1:4">
      <c r="A8" s="6" t="s">
        <v>12</v>
      </c>
      <c r="B8" s="5" t="s">
        <v>13</v>
      </c>
      <c r="C8" s="15" t="s">
        <v>14</v>
      </c>
      <c r="D8" s="4"/>
    </row>
    <row r="9" spans="1:4">
      <c r="A9" s="15" t="s">
        <v>15</v>
      </c>
      <c r="B9" s="5" t="s">
        <v>16</v>
      </c>
      <c r="C9" s="7" t="s">
        <v>17</v>
      </c>
      <c r="D9" s="4"/>
    </row>
    <row r="10" spans="1:4">
      <c r="A10" s="15" t="s">
        <v>18</v>
      </c>
      <c r="B10" s="15"/>
      <c r="C10" s="15" t="s">
        <v>19</v>
      </c>
      <c r="D10" s="4"/>
    </row>
    <row r="11" spans="1:4">
      <c r="A11" s="7" t="s">
        <v>20</v>
      </c>
      <c r="B11" s="15" t="s">
        <v>21</v>
      </c>
      <c r="C11" s="7" t="s">
        <v>22</v>
      </c>
      <c r="D11" s="4"/>
    </row>
    <row r="12" spans="1:4">
      <c r="A12" s="693" t="s">
        <v>23</v>
      </c>
      <c r="B12" s="15"/>
      <c r="C12" s="15" t="s">
        <v>24</v>
      </c>
      <c r="D12" s="4"/>
    </row>
    <row r="13" spans="1:4">
      <c r="A13" s="693"/>
      <c r="B13" s="15"/>
      <c r="C13" s="15" t="s">
        <v>25</v>
      </c>
      <c r="D13" s="4"/>
    </row>
    <row r="14" spans="1:4">
      <c r="A14" s="15" t="s">
        <v>26</v>
      </c>
      <c r="B14" s="5" t="s">
        <v>27</v>
      </c>
      <c r="C14" s="7" t="s">
        <v>28</v>
      </c>
      <c r="D14" s="4"/>
    </row>
    <row r="15" spans="1:4">
      <c r="A15" s="15" t="s">
        <v>26</v>
      </c>
      <c r="B15" s="5" t="s">
        <v>29</v>
      </c>
      <c r="C15" s="7" t="s">
        <v>30</v>
      </c>
      <c r="D15" s="4"/>
    </row>
    <row r="16" spans="1:4">
      <c r="A16" s="690" t="s">
        <v>31</v>
      </c>
      <c r="B16" s="16" t="s">
        <v>32</v>
      </c>
      <c r="C16" s="16" t="s">
        <v>33</v>
      </c>
      <c r="D16" s="4"/>
    </row>
    <row r="17" spans="1:4">
      <c r="A17" s="691"/>
      <c r="B17" s="16" t="s">
        <v>34</v>
      </c>
      <c r="C17" s="16" t="s">
        <v>35</v>
      </c>
      <c r="D17" s="4"/>
    </row>
    <row r="18" spans="1:4">
      <c r="A18" s="691"/>
      <c r="B18" s="16" t="s">
        <v>36</v>
      </c>
      <c r="C18" s="16" t="s">
        <v>37</v>
      </c>
      <c r="D18" s="4"/>
    </row>
    <row r="19" spans="1:4">
      <c r="A19" s="692"/>
      <c r="B19" s="16" t="s">
        <v>38</v>
      </c>
      <c r="C19" s="16" t="s">
        <v>39</v>
      </c>
      <c r="D19" s="4"/>
    </row>
    <row r="20" spans="1:4">
      <c r="A20" s="428"/>
      <c r="B20" s="16"/>
      <c r="C20" s="16"/>
      <c r="D20" s="4"/>
    </row>
    <row r="21" spans="1:4">
      <c r="A21" s="15" t="s">
        <v>40</v>
      </c>
      <c r="B21" s="15" t="s">
        <v>36</v>
      </c>
      <c r="C21" s="15" t="s">
        <v>41</v>
      </c>
      <c r="D21" s="4"/>
    </row>
    <row r="22" spans="1:4">
      <c r="A22" s="15" t="s">
        <v>42</v>
      </c>
      <c r="B22" s="15" t="s">
        <v>36</v>
      </c>
      <c r="C22" s="15" t="s">
        <v>43</v>
      </c>
      <c r="D22" s="4"/>
    </row>
    <row r="23" spans="1:4">
      <c r="A23" s="15" t="s">
        <v>44</v>
      </c>
      <c r="B23" s="15" t="s">
        <v>36</v>
      </c>
      <c r="C23" s="15" t="s">
        <v>45</v>
      </c>
      <c r="D23" s="4"/>
    </row>
    <row r="24" spans="1:4">
      <c r="A24" s="15" t="s">
        <v>46</v>
      </c>
      <c r="B24" s="15" t="s">
        <v>47</v>
      </c>
      <c r="C24" s="15" t="s">
        <v>48</v>
      </c>
      <c r="D24" s="4" t="s">
        <v>49</v>
      </c>
    </row>
    <row r="25" spans="1:4">
      <c r="A25" s="15" t="s">
        <v>50</v>
      </c>
      <c r="B25" s="15" t="s">
        <v>32</v>
      </c>
      <c r="C25" s="15" t="s">
        <v>51</v>
      </c>
      <c r="D25" s="4"/>
    </row>
    <row r="26" spans="1:4">
      <c r="A26" s="15" t="s">
        <v>52</v>
      </c>
      <c r="B26" s="15" t="s">
        <v>32</v>
      </c>
      <c r="C26" s="15" t="s">
        <v>53</v>
      </c>
      <c r="D26" s="4"/>
    </row>
    <row r="27" spans="1:4">
      <c r="A27" s="17" t="s">
        <v>54</v>
      </c>
      <c r="B27" s="15" t="s">
        <v>32</v>
      </c>
      <c r="C27" s="18" t="s">
        <v>55</v>
      </c>
      <c r="D27" s="4"/>
    </row>
    <row r="28" spans="1:4">
      <c r="A28" s="15" t="s">
        <v>56</v>
      </c>
      <c r="B28" s="15" t="s">
        <v>32</v>
      </c>
      <c r="C28" s="15" t="s">
        <v>57</v>
      </c>
      <c r="D28" s="4"/>
    </row>
    <row r="29" spans="1:4">
      <c r="A29" s="15" t="s">
        <v>58</v>
      </c>
      <c r="B29" s="15" t="s">
        <v>36</v>
      </c>
      <c r="C29" s="15" t="s">
        <v>59</v>
      </c>
      <c r="D29" s="4"/>
    </row>
    <row r="30" spans="1:4">
      <c r="A30" s="16" t="s">
        <v>60</v>
      </c>
      <c r="B30" s="16"/>
      <c r="C30" s="16"/>
      <c r="D30" s="4"/>
    </row>
    <row r="31" spans="1:4">
      <c r="A31" s="16" t="s">
        <v>61</v>
      </c>
      <c r="B31" s="16"/>
      <c r="C31" s="16"/>
      <c r="D31" s="4"/>
    </row>
    <row r="32" spans="1:4">
      <c r="A32" s="389" t="s">
        <v>62</v>
      </c>
      <c r="B32" s="389" t="s">
        <v>98</v>
      </c>
      <c r="C32" s="26" t="s">
        <v>63</v>
      </c>
      <c r="D32" s="4"/>
    </row>
    <row r="33" spans="1:4">
      <c r="A33" s="16" t="s">
        <v>64</v>
      </c>
      <c r="B33" s="16" t="s">
        <v>65</v>
      </c>
      <c r="C33" s="27" t="s">
        <v>66</v>
      </c>
      <c r="D33" s="4"/>
    </row>
    <row r="34" spans="1:4">
      <c r="A34" s="16" t="s">
        <v>67</v>
      </c>
      <c r="B34" s="19" t="s">
        <v>68</v>
      </c>
      <c r="C34" s="28">
        <v>2.250001532189E+17</v>
      </c>
      <c r="D34" s="4"/>
    </row>
    <row r="35" spans="1:4" ht="18">
      <c r="A35" s="16" t="s">
        <v>69</v>
      </c>
      <c r="B35" s="19" t="s">
        <v>68</v>
      </c>
      <c r="C35" s="29">
        <v>2.2510018127260099E+17</v>
      </c>
      <c r="D35" s="4"/>
    </row>
    <row r="36" spans="1:4">
      <c r="A36" s="16" t="s">
        <v>70</v>
      </c>
      <c r="B36" s="16" t="s">
        <v>36</v>
      </c>
      <c r="C36" s="27" t="s">
        <v>71</v>
      </c>
      <c r="D36" s="4"/>
    </row>
    <row r="37" spans="1:4">
      <c r="A37" s="16" t="s">
        <v>72</v>
      </c>
      <c r="B37" s="16" t="s">
        <v>36</v>
      </c>
      <c r="C37" s="27" t="s">
        <v>73</v>
      </c>
      <c r="D37" s="4"/>
    </row>
    <row r="38" spans="1:4">
      <c r="A38" s="120" t="s">
        <v>74</v>
      </c>
      <c r="B38" s="120" t="s">
        <v>47</v>
      </c>
      <c r="C38" s="121" t="s">
        <v>75</v>
      </c>
      <c r="D38" s="4"/>
    </row>
    <row r="39" spans="1:4">
      <c r="A39" s="27" t="s">
        <v>76</v>
      </c>
      <c r="B39" s="16" t="s">
        <v>36</v>
      </c>
      <c r="C39" s="27" t="s">
        <v>77</v>
      </c>
      <c r="D39" s="4"/>
    </row>
    <row r="40" spans="1:4">
      <c r="A40" s="16" t="s">
        <v>78</v>
      </c>
      <c r="B40" s="16" t="s">
        <v>36</v>
      </c>
      <c r="C40" s="20">
        <v>25540265876037</v>
      </c>
      <c r="D40" s="4"/>
    </row>
    <row r="41" spans="1:4">
      <c r="A41" s="16" t="s">
        <v>78</v>
      </c>
      <c r="B41" s="16" t="s">
        <v>32</v>
      </c>
      <c r="C41" s="20">
        <v>8320200000513</v>
      </c>
      <c r="D41" s="4"/>
    </row>
    <row r="42" spans="1:4">
      <c r="A42" s="16" t="s">
        <v>79</v>
      </c>
      <c r="B42" s="16" t="s">
        <v>80</v>
      </c>
      <c r="C42" s="20">
        <v>6.8822502100001E+16</v>
      </c>
      <c r="D42" s="4"/>
    </row>
    <row r="43" spans="1:4">
      <c r="A43" s="16" t="s">
        <v>79</v>
      </c>
      <c r="B43" s="16" t="s">
        <v>81</v>
      </c>
      <c r="C43" s="20" t="s">
        <v>82</v>
      </c>
      <c r="D43" s="4"/>
    </row>
    <row r="44" spans="1:4">
      <c r="A44" s="16" t="s">
        <v>83</v>
      </c>
      <c r="B44" s="16" t="s">
        <v>32</v>
      </c>
      <c r="C44" s="27" t="s">
        <v>53</v>
      </c>
      <c r="D44" s="4"/>
    </row>
    <row r="45" spans="1:4">
      <c r="A45" s="16" t="s">
        <v>42</v>
      </c>
      <c r="B45" s="16" t="s">
        <v>36</v>
      </c>
      <c r="C45" s="27" t="s">
        <v>84</v>
      </c>
      <c r="D45" s="4"/>
    </row>
    <row r="46" spans="1:4">
      <c r="A46" s="16" t="s">
        <v>85</v>
      </c>
      <c r="B46" s="16" t="s">
        <v>32</v>
      </c>
      <c r="C46" s="27" t="s">
        <v>86</v>
      </c>
      <c r="D46" s="4"/>
    </row>
    <row r="47" spans="1:4">
      <c r="A47" s="16" t="s">
        <v>87</v>
      </c>
      <c r="B47" s="16" t="s">
        <v>36</v>
      </c>
      <c r="C47" s="27" t="s">
        <v>88</v>
      </c>
      <c r="D47" s="4"/>
    </row>
    <row r="48" spans="1:4">
      <c r="A48" s="16" t="s">
        <v>89</v>
      </c>
      <c r="B48" s="16" t="s">
        <v>36</v>
      </c>
      <c r="C48" s="27" t="s">
        <v>45</v>
      </c>
      <c r="D48" s="4"/>
    </row>
    <row r="49" spans="1:4">
      <c r="A49" s="25" t="s">
        <v>90</v>
      </c>
      <c r="B49" s="25" t="s">
        <v>36</v>
      </c>
      <c r="C49" s="30" t="s">
        <v>91</v>
      </c>
      <c r="D49" s="4"/>
    </row>
    <row r="50" spans="1:4">
      <c r="A50" s="688" t="s">
        <v>92</v>
      </c>
      <c r="B50" s="31" t="s">
        <v>36</v>
      </c>
      <c r="C50" s="31" t="s">
        <v>63</v>
      </c>
      <c r="D50" s="4"/>
    </row>
    <row r="51" spans="1:4">
      <c r="A51" s="689"/>
      <c r="B51" s="31" t="s">
        <v>38</v>
      </c>
      <c r="C51" s="32" t="s">
        <v>93</v>
      </c>
      <c r="D51" s="4"/>
    </row>
    <row r="52" spans="1:4">
      <c r="A52" s="51" t="s">
        <v>94</v>
      </c>
      <c r="B52" s="51" t="s">
        <v>95</v>
      </c>
      <c r="C52" s="52" t="s">
        <v>96</v>
      </c>
      <c r="D52" s="4"/>
    </row>
    <row r="53" spans="1:4">
      <c r="A53" s="16" t="s">
        <v>97</v>
      </c>
      <c r="B53" s="16" t="s">
        <v>98</v>
      </c>
      <c r="C53" s="53" t="s">
        <v>99</v>
      </c>
      <c r="D53" s="4"/>
    </row>
    <row r="54" spans="1:4">
      <c r="A54" s="16" t="s">
        <v>100</v>
      </c>
      <c r="B54" s="16" t="s">
        <v>95</v>
      </c>
      <c r="C54" s="53" t="s">
        <v>101</v>
      </c>
      <c r="D54" s="4"/>
    </row>
    <row r="55" spans="1:4">
      <c r="A55" s="16" t="s">
        <v>102</v>
      </c>
      <c r="B55" s="16"/>
      <c r="C55" s="53"/>
      <c r="D55" s="4"/>
    </row>
    <row r="56" spans="1:4">
      <c r="A56" s="113" t="s">
        <v>103</v>
      </c>
      <c r="B56" s="113" t="s">
        <v>98</v>
      </c>
      <c r="C56" s="114" t="s">
        <v>104</v>
      </c>
      <c r="D56" s="4"/>
    </row>
    <row r="57" spans="1:4">
      <c r="A57" s="100" t="s">
        <v>105</v>
      </c>
      <c r="B57" s="100" t="s">
        <v>98</v>
      </c>
      <c r="C57" s="101" t="s">
        <v>106</v>
      </c>
      <c r="D57" s="4"/>
    </row>
    <row r="58" spans="1:4">
      <c r="A58" s="102" t="s">
        <v>107</v>
      </c>
      <c r="B58" s="102" t="s">
        <v>98</v>
      </c>
      <c r="C58" s="103" t="s">
        <v>108</v>
      </c>
      <c r="D58" s="4"/>
    </row>
    <row r="59" spans="1:4">
      <c r="A59" s="104" t="s">
        <v>109</v>
      </c>
      <c r="B59" s="104" t="s">
        <v>110</v>
      </c>
      <c r="C59" s="105" t="s">
        <v>111</v>
      </c>
      <c r="D59" s="4"/>
    </row>
    <row r="60" spans="1:4">
      <c r="A60" s="16" t="s">
        <v>112</v>
      </c>
      <c r="B60" s="16" t="s">
        <v>95</v>
      </c>
      <c r="C60" s="53" t="s">
        <v>113</v>
      </c>
      <c r="D60" s="4"/>
    </row>
    <row r="61" spans="1:4">
      <c r="A61" s="100" t="s">
        <v>112</v>
      </c>
      <c r="B61" s="100" t="s">
        <v>110</v>
      </c>
      <c r="C61" s="101" t="s">
        <v>114</v>
      </c>
      <c r="D61" s="4"/>
    </row>
    <row r="62" spans="1:4">
      <c r="A62" s="16" t="s">
        <v>115</v>
      </c>
      <c r="B62" s="16" t="s">
        <v>95</v>
      </c>
      <c r="C62" s="53" t="s">
        <v>116</v>
      </c>
      <c r="D62" s="4"/>
    </row>
    <row r="63" spans="1:4">
      <c r="A63" s="108" t="s">
        <v>115</v>
      </c>
      <c r="B63" s="108" t="s">
        <v>110</v>
      </c>
      <c r="C63" s="109" t="s">
        <v>117</v>
      </c>
      <c r="D63" s="4"/>
    </row>
    <row r="64" spans="1:4">
      <c r="A64" s="110" t="s">
        <v>118</v>
      </c>
      <c r="B64" s="110" t="s">
        <v>110</v>
      </c>
      <c r="C64" s="111" t="s">
        <v>119</v>
      </c>
      <c r="D64" s="4"/>
    </row>
    <row r="65" spans="1:4">
      <c r="A65" s="16" t="s">
        <v>118</v>
      </c>
      <c r="B65" s="16" t="s">
        <v>98</v>
      </c>
      <c r="C65" s="53" t="s">
        <v>120</v>
      </c>
      <c r="D65" s="4"/>
    </row>
    <row r="66" spans="1:4">
      <c r="A66" s="100" t="s">
        <v>121</v>
      </c>
      <c r="B66" s="100" t="s">
        <v>95</v>
      </c>
      <c r="C66" s="100" t="s">
        <v>422</v>
      </c>
    </row>
    <row r="67" spans="1:4">
      <c r="A67" s="113" t="s">
        <v>123</v>
      </c>
      <c r="B67" s="113" t="s">
        <v>98</v>
      </c>
      <c r="C67" s="113" t="s">
        <v>124</v>
      </c>
    </row>
    <row r="68" spans="1:4">
      <c r="A68" s="130" t="s">
        <v>125</v>
      </c>
      <c r="B68" s="130" t="s">
        <v>98</v>
      </c>
      <c r="C68" s="130" t="s">
        <v>126</v>
      </c>
    </row>
    <row r="69" spans="1:4">
      <c r="A69" s="147" t="s">
        <v>127</v>
      </c>
      <c r="B69" s="115" t="s">
        <v>98</v>
      </c>
      <c r="C69" s="115" t="s">
        <v>71</v>
      </c>
    </row>
    <row r="70" spans="1:4">
      <c r="A70" s="684" t="s">
        <v>23</v>
      </c>
      <c r="B70" s="117" t="s">
        <v>98</v>
      </c>
      <c r="C70" s="117" t="s">
        <v>128</v>
      </c>
    </row>
    <row r="71" spans="1:4">
      <c r="A71" s="684"/>
      <c r="B71" s="117" t="s">
        <v>95</v>
      </c>
      <c r="C71" s="117" t="s">
        <v>129</v>
      </c>
    </row>
    <row r="72" spans="1:4">
      <c r="A72" s="148" t="s">
        <v>130</v>
      </c>
      <c r="B72" s="100" t="s">
        <v>95</v>
      </c>
      <c r="C72" s="100" t="s">
        <v>131</v>
      </c>
    </row>
    <row r="73" spans="1:4">
      <c r="A73" s="149" t="s">
        <v>132</v>
      </c>
      <c r="B73" s="102" t="s">
        <v>98</v>
      </c>
      <c r="C73" s="102" t="s">
        <v>75</v>
      </c>
    </row>
    <row r="74" spans="1:4">
      <c r="A74" s="150" t="s">
        <v>133</v>
      </c>
      <c r="B74" s="115" t="s">
        <v>95</v>
      </c>
      <c r="C74" s="115" t="s">
        <v>134</v>
      </c>
    </row>
    <row r="75" spans="1:4">
      <c r="A75" s="123" t="s">
        <v>135</v>
      </c>
      <c r="B75" s="123" t="s">
        <v>98</v>
      </c>
      <c r="C75" s="123" t="s">
        <v>136</v>
      </c>
    </row>
    <row r="76" spans="1:4" s="139" customFormat="1">
      <c r="A76" s="108" t="s">
        <v>137</v>
      </c>
      <c r="B76" s="108" t="s">
        <v>138</v>
      </c>
      <c r="C76" s="108" t="s">
        <v>139</v>
      </c>
    </row>
    <row r="77" spans="1:4">
      <c r="A77" s="122" t="s">
        <v>140</v>
      </c>
      <c r="B77" s="122" t="s">
        <v>98</v>
      </c>
      <c r="C77" s="122" t="s">
        <v>141</v>
      </c>
    </row>
    <row r="78" spans="1:4">
      <c r="A78" s="131" t="s">
        <v>142</v>
      </c>
      <c r="B78" s="131" t="s">
        <v>143</v>
      </c>
      <c r="C78" s="131" t="s">
        <v>144</v>
      </c>
    </row>
    <row r="79" spans="1:4">
      <c r="A79" s="132" t="s">
        <v>145</v>
      </c>
      <c r="B79" s="132" t="s">
        <v>95</v>
      </c>
      <c r="C79" s="132" t="s">
        <v>146</v>
      </c>
    </row>
    <row r="80" spans="1:4">
      <c r="A80" s="140" t="s">
        <v>147</v>
      </c>
      <c r="B80" s="115" t="s">
        <v>98</v>
      </c>
      <c r="C80" s="115" t="s">
        <v>148</v>
      </c>
    </row>
    <row r="81" spans="1:3">
      <c r="A81" s="141" t="s">
        <v>149</v>
      </c>
      <c r="B81" s="102" t="s">
        <v>98</v>
      </c>
      <c r="C81" s="102" t="s">
        <v>150</v>
      </c>
    </row>
    <row r="82" spans="1:3">
      <c r="A82" s="142" t="s">
        <v>151</v>
      </c>
      <c r="B82" s="108" t="s">
        <v>98</v>
      </c>
      <c r="C82" s="108" t="s">
        <v>152</v>
      </c>
    </row>
    <row r="83" spans="1:3">
      <c r="A83" s="143" t="s">
        <v>153</v>
      </c>
      <c r="B83" s="116" t="s">
        <v>98</v>
      </c>
      <c r="C83" s="116" t="s">
        <v>154</v>
      </c>
    </row>
    <row r="84" spans="1:3">
      <c r="A84" s="100" t="s">
        <v>155</v>
      </c>
      <c r="B84" s="100" t="s">
        <v>98</v>
      </c>
      <c r="C84" s="100" t="s">
        <v>156</v>
      </c>
    </row>
    <row r="85" spans="1:3">
      <c r="A85" s="144" t="s">
        <v>157</v>
      </c>
      <c r="B85" s="144" t="s">
        <v>98</v>
      </c>
      <c r="C85" s="144" t="s">
        <v>158</v>
      </c>
    </row>
    <row r="86" spans="1:3">
      <c r="A86" s="146" t="s">
        <v>159</v>
      </c>
      <c r="B86" s="146" t="s">
        <v>98</v>
      </c>
      <c r="C86" s="146" t="s">
        <v>160</v>
      </c>
    </row>
    <row r="87" spans="1:3">
      <c r="A87" s="151" t="s">
        <v>90</v>
      </c>
      <c r="B87" s="151" t="s">
        <v>161</v>
      </c>
      <c r="C87" s="151" t="s">
        <v>162</v>
      </c>
    </row>
    <row r="88" spans="1:3">
      <c r="A88" s="153" t="s">
        <v>163</v>
      </c>
      <c r="B88" s="153" t="s">
        <v>98</v>
      </c>
      <c r="C88" s="153" t="s">
        <v>124</v>
      </c>
    </row>
    <row r="89" spans="1:3">
      <c r="A89" s="16" t="s">
        <v>164</v>
      </c>
      <c r="B89" s="16" t="s">
        <v>98</v>
      </c>
      <c r="C89" s="154" t="s">
        <v>165</v>
      </c>
    </row>
    <row r="90" spans="1:3">
      <c r="A90" s="16" t="s">
        <v>118</v>
      </c>
      <c r="B90" s="16" t="s">
        <v>98</v>
      </c>
      <c r="C90" s="53" t="s">
        <v>120</v>
      </c>
    </row>
    <row r="91" spans="1:3">
      <c r="A91" s="157" t="s">
        <v>166</v>
      </c>
      <c r="B91" s="146" t="s">
        <v>98</v>
      </c>
      <c r="C91" s="146" t="s">
        <v>167</v>
      </c>
    </row>
    <row r="92" spans="1:3">
      <c r="A92" s="159" t="s">
        <v>168</v>
      </c>
      <c r="B92" s="151" t="s">
        <v>95</v>
      </c>
      <c r="C92" s="151" t="s">
        <v>169</v>
      </c>
    </row>
    <row r="93" spans="1:3">
      <c r="A93" s="160" t="s">
        <v>170</v>
      </c>
      <c r="B93" s="161" t="s">
        <v>171</v>
      </c>
      <c r="C93" s="161" t="s">
        <v>172</v>
      </c>
    </row>
    <row r="94" spans="1:3">
      <c r="A94" s="102" t="s">
        <v>173</v>
      </c>
      <c r="B94" s="102" t="s">
        <v>95</v>
      </c>
      <c r="C94" s="102" t="s">
        <v>174</v>
      </c>
    </row>
    <row r="95" spans="1:3">
      <c r="A95" s="686" t="s">
        <v>175</v>
      </c>
      <c r="B95" s="163" t="s">
        <v>98</v>
      </c>
      <c r="C95" s="163" t="s">
        <v>176</v>
      </c>
    </row>
    <row r="96" spans="1:3">
      <c r="A96" s="687"/>
      <c r="B96" s="163" t="s">
        <v>177</v>
      </c>
      <c r="C96" s="163" t="s">
        <v>178</v>
      </c>
    </row>
    <row r="97" spans="1:4">
      <c r="A97" s="149" t="s">
        <v>179</v>
      </c>
      <c r="B97" s="102" t="s">
        <v>98</v>
      </c>
      <c r="C97" s="102" t="s">
        <v>180</v>
      </c>
    </row>
    <row r="98" spans="1:4">
      <c r="A98" s="169" t="s">
        <v>181</v>
      </c>
      <c r="B98" s="169" t="s">
        <v>98</v>
      </c>
      <c r="C98" s="169" t="s">
        <v>182</v>
      </c>
    </row>
    <row r="99" spans="1:4">
      <c r="A99" s="172" t="s">
        <v>183</v>
      </c>
      <c r="B99" s="172" t="s">
        <v>98</v>
      </c>
      <c r="C99" s="172" t="s">
        <v>184</v>
      </c>
    </row>
    <row r="100" spans="1:4">
      <c r="A100" s="108" t="s">
        <v>107</v>
      </c>
      <c r="B100" s="108" t="s">
        <v>98</v>
      </c>
      <c r="C100" s="109" t="s">
        <v>108</v>
      </c>
      <c r="D100" s="4"/>
    </row>
    <row r="101" spans="1:4" s="10" customFormat="1">
      <c r="A101" s="247" t="s">
        <v>185</v>
      </c>
      <c r="B101" s="248" t="s">
        <v>95</v>
      </c>
      <c r="C101" s="248" t="s">
        <v>186</v>
      </c>
    </row>
    <row r="102" spans="1:4">
      <c r="A102" s="685" t="s">
        <v>187</v>
      </c>
      <c r="B102" s="176" t="s">
        <v>98</v>
      </c>
      <c r="C102" s="176" t="s">
        <v>188</v>
      </c>
    </row>
    <row r="103" spans="1:4">
      <c r="A103" s="685"/>
      <c r="B103" s="176" t="s">
        <v>95</v>
      </c>
      <c r="C103" s="176" t="s">
        <v>189</v>
      </c>
    </row>
    <row r="104" spans="1:4">
      <c r="A104" s="178" t="s">
        <v>190</v>
      </c>
      <c r="B104" s="177" t="s">
        <v>177</v>
      </c>
      <c r="C104" s="177" t="s">
        <v>191</v>
      </c>
    </row>
    <row r="105" spans="1:4" s="224" customFormat="1">
      <c r="A105" s="222" t="s">
        <v>192</v>
      </c>
      <c r="B105" s="223" t="s">
        <v>98</v>
      </c>
      <c r="C105" s="223" t="s">
        <v>193</v>
      </c>
    </row>
    <row r="106" spans="1:4">
      <c r="A106" s="173" t="s">
        <v>194</v>
      </c>
      <c r="B106" s="173" t="s">
        <v>95</v>
      </c>
      <c r="C106" s="173" t="s">
        <v>195</v>
      </c>
    </row>
    <row r="107" spans="1:4">
      <c r="A107" s="183" t="s">
        <v>196</v>
      </c>
      <c r="B107" s="182" t="s">
        <v>98</v>
      </c>
      <c r="C107" s="182" t="s">
        <v>197</v>
      </c>
    </row>
    <row r="108" spans="1:4">
      <c r="A108" s="184" t="s">
        <v>198</v>
      </c>
      <c r="B108" s="184" t="s">
        <v>98</v>
      </c>
      <c r="C108" s="184" t="s">
        <v>199</v>
      </c>
    </row>
    <row r="109" spans="1:4">
      <c r="A109" s="180" t="s">
        <v>200</v>
      </c>
      <c r="B109" s="180" t="s">
        <v>98</v>
      </c>
      <c r="C109" s="180" t="s">
        <v>201</v>
      </c>
    </row>
    <row r="110" spans="1:4">
      <c r="A110" s="185" t="s">
        <v>202</v>
      </c>
      <c r="B110" s="186" t="s">
        <v>177</v>
      </c>
      <c r="C110" s="186" t="s">
        <v>203</v>
      </c>
    </row>
    <row r="111" spans="1:4">
      <c r="A111" s="187" t="s">
        <v>204</v>
      </c>
      <c r="B111" s="188" t="s">
        <v>98</v>
      </c>
      <c r="C111" s="188" t="s">
        <v>205</v>
      </c>
    </row>
    <row r="112" spans="1:4">
      <c r="A112" s="182" t="s">
        <v>206</v>
      </c>
      <c r="B112" s="182" t="s">
        <v>207</v>
      </c>
      <c r="C112" s="182" t="s">
        <v>208</v>
      </c>
      <c r="D112" s="196" t="s">
        <v>209</v>
      </c>
    </row>
    <row r="113" spans="1:3">
      <c r="A113" s="173" t="s">
        <v>210</v>
      </c>
      <c r="B113" s="173" t="s">
        <v>177</v>
      </c>
      <c r="C113" s="173" t="s">
        <v>211</v>
      </c>
    </row>
    <row r="114" spans="1:3">
      <c r="A114" s="197" t="s">
        <v>212</v>
      </c>
      <c r="B114" s="198" t="s">
        <v>98</v>
      </c>
      <c r="C114" s="198" t="s">
        <v>213</v>
      </c>
    </row>
    <row r="115" spans="1:3">
      <c r="A115" s="199" t="s">
        <v>214</v>
      </c>
      <c r="B115" s="186" t="s">
        <v>215</v>
      </c>
      <c r="C115" s="186" t="s">
        <v>216</v>
      </c>
    </row>
    <row r="116" spans="1:3">
      <c r="A116" s="200" t="s">
        <v>217</v>
      </c>
      <c r="B116" s="184" t="s">
        <v>98</v>
      </c>
      <c r="C116" s="184" t="s">
        <v>218</v>
      </c>
    </row>
    <row r="117" spans="1:3">
      <c r="A117" s="202" t="s">
        <v>219</v>
      </c>
      <c r="B117" s="201" t="s">
        <v>95</v>
      </c>
      <c r="C117" s="201" t="s">
        <v>220</v>
      </c>
    </row>
    <row r="118" spans="1:3">
      <c r="A118" s="185" t="s">
        <v>221</v>
      </c>
      <c r="B118" s="186" t="s">
        <v>222</v>
      </c>
      <c r="C118" s="186" t="s">
        <v>223</v>
      </c>
    </row>
    <row r="119" spans="1:3">
      <c r="A119" s="205" t="s">
        <v>224</v>
      </c>
      <c r="B119" s="102" t="s">
        <v>98</v>
      </c>
      <c r="C119" s="102" t="s">
        <v>225</v>
      </c>
    </row>
    <row r="120" spans="1:3">
      <c r="A120" s="212" t="s">
        <v>226</v>
      </c>
      <c r="B120" s="198" t="s">
        <v>177</v>
      </c>
      <c r="C120" s="198" t="s">
        <v>227</v>
      </c>
    </row>
    <row r="121" spans="1:3">
      <c r="A121" s="156" t="s">
        <v>228</v>
      </c>
      <c r="B121" s="120" t="s">
        <v>177</v>
      </c>
      <c r="C121" s="120" t="s">
        <v>229</v>
      </c>
    </row>
    <row r="122" spans="1:3" s="10" customFormat="1">
      <c r="A122" s="260" t="s">
        <v>230</v>
      </c>
      <c r="B122" s="261" t="s">
        <v>177</v>
      </c>
      <c r="C122" s="261" t="s">
        <v>231</v>
      </c>
    </row>
    <row r="123" spans="1:3">
      <c r="A123" s="16" t="s">
        <v>232</v>
      </c>
      <c r="B123" s="16" t="s">
        <v>98</v>
      </c>
      <c r="C123" s="16" t="s">
        <v>233</v>
      </c>
    </row>
    <row r="124" spans="1:3">
      <c r="A124" s="215" t="s">
        <v>234</v>
      </c>
      <c r="B124" s="216" t="s">
        <v>177</v>
      </c>
      <c r="C124" s="144" t="s">
        <v>353</v>
      </c>
    </row>
    <row r="125" spans="1:3">
      <c r="A125" s="108" t="s">
        <v>235</v>
      </c>
      <c r="B125" s="108" t="s">
        <v>110</v>
      </c>
      <c r="C125" s="108" t="s">
        <v>236</v>
      </c>
    </row>
    <row r="126" spans="1:3">
      <c r="A126" s="219" t="s">
        <v>166</v>
      </c>
      <c r="B126" s="180" t="s">
        <v>98</v>
      </c>
      <c r="C126" s="180" t="s">
        <v>167</v>
      </c>
    </row>
    <row r="127" spans="1:3">
      <c r="A127" s="221" t="s">
        <v>237</v>
      </c>
      <c r="B127" s="220" t="s">
        <v>98</v>
      </c>
      <c r="C127" s="220" t="s">
        <v>238</v>
      </c>
    </row>
    <row r="128" spans="1:3">
      <c r="A128" s="228" t="s">
        <v>239</v>
      </c>
      <c r="B128" s="144" t="s">
        <v>98</v>
      </c>
      <c r="C128" s="144" t="s">
        <v>240</v>
      </c>
    </row>
    <row r="129" spans="1:3">
      <c r="A129" s="228" t="s">
        <v>239</v>
      </c>
      <c r="B129" s="144" t="s">
        <v>177</v>
      </c>
      <c r="C129" s="144" t="s">
        <v>241</v>
      </c>
    </row>
    <row r="130" spans="1:3">
      <c r="A130" s="226" t="s">
        <v>242</v>
      </c>
      <c r="B130" s="225" t="s">
        <v>177</v>
      </c>
      <c r="C130" s="225" t="s">
        <v>243</v>
      </c>
    </row>
    <row r="131" spans="1:3">
      <c r="A131" s="27" t="s">
        <v>244</v>
      </c>
      <c r="B131" s="16" t="s">
        <v>95</v>
      </c>
      <c r="C131" s="16" t="s">
        <v>245</v>
      </c>
    </row>
    <row r="132" spans="1:3">
      <c r="A132" s="229" t="s">
        <v>90</v>
      </c>
      <c r="B132" s="229" t="s">
        <v>246</v>
      </c>
      <c r="C132" s="229" t="s">
        <v>247</v>
      </c>
    </row>
    <row r="133" spans="1:3" s="274" customFormat="1">
      <c r="A133" s="230" t="s">
        <v>248</v>
      </c>
      <c r="B133" s="146" t="s">
        <v>110</v>
      </c>
      <c r="C133" s="146" t="s">
        <v>119</v>
      </c>
    </row>
    <row r="134" spans="1:3">
      <c r="A134" s="250" t="s">
        <v>249</v>
      </c>
      <c r="B134" s="225" t="s">
        <v>177</v>
      </c>
      <c r="C134" s="225" t="s">
        <v>250</v>
      </c>
    </row>
    <row r="135" spans="1:3">
      <c r="A135" s="251" t="s">
        <v>251</v>
      </c>
      <c r="B135" s="173" t="s">
        <v>98</v>
      </c>
      <c r="C135" s="173" t="s">
        <v>252</v>
      </c>
    </row>
    <row r="136" spans="1:3">
      <c r="A136" s="252" t="s">
        <v>253</v>
      </c>
      <c r="B136" s="102" t="s">
        <v>98</v>
      </c>
      <c r="C136" s="102" t="s">
        <v>254</v>
      </c>
    </row>
    <row r="137" spans="1:3">
      <c r="A137" s="253" t="s">
        <v>255</v>
      </c>
      <c r="B137" s="249" t="s">
        <v>98</v>
      </c>
      <c r="C137" s="249" t="s">
        <v>256</v>
      </c>
    </row>
    <row r="138" spans="1:3">
      <c r="A138" s="254" t="s">
        <v>257</v>
      </c>
      <c r="B138" s="123" t="s">
        <v>98</v>
      </c>
      <c r="C138" s="123" t="s">
        <v>258</v>
      </c>
    </row>
    <row r="139" spans="1:3">
      <c r="A139" s="255" t="s">
        <v>259</v>
      </c>
      <c r="B139" s="229" t="s">
        <v>98</v>
      </c>
      <c r="C139" s="229" t="s">
        <v>260</v>
      </c>
    </row>
    <row r="140" spans="1:3">
      <c r="A140" s="169" t="s">
        <v>181</v>
      </c>
      <c r="B140" s="169" t="s">
        <v>98</v>
      </c>
      <c r="C140" s="169" t="s">
        <v>182</v>
      </c>
    </row>
    <row r="141" spans="1:3">
      <c r="A141" s="256" t="s">
        <v>261</v>
      </c>
      <c r="B141" s="256" t="s">
        <v>98</v>
      </c>
      <c r="C141" s="256" t="s">
        <v>262</v>
      </c>
    </row>
    <row r="142" spans="1:3">
      <c r="A142" s="258" t="s">
        <v>263</v>
      </c>
      <c r="B142" s="258" t="s">
        <v>98</v>
      </c>
      <c r="C142" s="258" t="s">
        <v>264</v>
      </c>
    </row>
    <row r="143" spans="1:3">
      <c r="A143" s="257" t="s">
        <v>265</v>
      </c>
      <c r="B143" s="130" t="s">
        <v>98</v>
      </c>
      <c r="C143" s="130" t="s">
        <v>266</v>
      </c>
    </row>
    <row r="144" spans="1:3">
      <c r="A144" s="259" t="s">
        <v>267</v>
      </c>
      <c r="B144" s="102" t="s">
        <v>98</v>
      </c>
      <c r="C144" s="102" t="s">
        <v>268</v>
      </c>
    </row>
    <row r="145" spans="1:4">
      <c r="A145" s="264" t="s">
        <v>269</v>
      </c>
      <c r="B145" s="180" t="s">
        <v>270</v>
      </c>
      <c r="C145" s="180" t="s">
        <v>271</v>
      </c>
    </row>
    <row r="146" spans="1:4">
      <c r="A146" s="265" t="s">
        <v>272</v>
      </c>
      <c r="B146" s="169" t="s">
        <v>177</v>
      </c>
      <c r="C146" s="169" t="s">
        <v>273</v>
      </c>
    </row>
    <row r="147" spans="1:4">
      <c r="A147" s="266" t="s">
        <v>265</v>
      </c>
      <c r="B147" s="229" t="s">
        <v>98</v>
      </c>
      <c r="C147" s="229" t="s">
        <v>274</v>
      </c>
    </row>
    <row r="148" spans="1:4">
      <c r="A148" s="267" t="s">
        <v>192</v>
      </c>
      <c r="B148" s="149" t="s">
        <v>177</v>
      </c>
      <c r="C148" s="149" t="s">
        <v>275</v>
      </c>
    </row>
    <row r="149" spans="1:4">
      <c r="A149" s="258" t="s">
        <v>276</v>
      </c>
      <c r="B149" s="258" t="s">
        <v>98</v>
      </c>
      <c r="C149" s="258" t="s">
        <v>277</v>
      </c>
    </row>
    <row r="150" spans="1:4">
      <c r="A150" s="102" t="s">
        <v>278</v>
      </c>
      <c r="B150" s="102" t="s">
        <v>98</v>
      </c>
      <c r="C150" s="102" t="s">
        <v>279</v>
      </c>
    </row>
    <row r="151" spans="1:4">
      <c r="A151" s="258" t="s">
        <v>280</v>
      </c>
      <c r="B151" s="258" t="s">
        <v>177</v>
      </c>
      <c r="C151" s="258" t="s">
        <v>189</v>
      </c>
    </row>
    <row r="152" spans="1:4">
      <c r="A152" s="249" t="s">
        <v>281</v>
      </c>
      <c r="B152" s="249" t="s">
        <v>98</v>
      </c>
      <c r="C152" s="249" t="s">
        <v>282</v>
      </c>
    </row>
    <row r="153" spans="1:4">
      <c r="A153" s="272" t="s">
        <v>90</v>
      </c>
      <c r="B153" s="130" t="s">
        <v>161</v>
      </c>
      <c r="C153" s="130" t="s">
        <v>283</v>
      </c>
      <c r="D153" t="s">
        <v>284</v>
      </c>
    </row>
    <row r="154" spans="1:4">
      <c r="A154" s="229" t="s">
        <v>285</v>
      </c>
      <c r="B154" s="229" t="s">
        <v>98</v>
      </c>
      <c r="C154" s="229" t="s">
        <v>274</v>
      </c>
    </row>
    <row r="155" spans="1:4">
      <c r="A155" s="273" t="s">
        <v>286</v>
      </c>
      <c r="B155" s="273" t="s">
        <v>98</v>
      </c>
      <c r="C155" s="273" t="s">
        <v>201</v>
      </c>
    </row>
    <row r="156" spans="1:4">
      <c r="A156" s="275" t="s">
        <v>287</v>
      </c>
      <c r="B156" s="102" t="s">
        <v>98</v>
      </c>
      <c r="C156" s="102" t="s">
        <v>288</v>
      </c>
    </row>
    <row r="157" spans="1:4">
      <c r="A157" s="266" t="s">
        <v>289</v>
      </c>
      <c r="B157" s="276" t="s">
        <v>98</v>
      </c>
      <c r="C157" s="276" t="s">
        <v>290</v>
      </c>
      <c r="D157" s="276" t="s">
        <v>291</v>
      </c>
    </row>
    <row r="158" spans="1:4">
      <c r="A158" s="306" t="s">
        <v>292</v>
      </c>
      <c r="B158" s="306" t="s">
        <v>98</v>
      </c>
      <c r="C158" s="306" t="s">
        <v>293</v>
      </c>
    </row>
    <row r="159" spans="1:4">
      <c r="A159" s="110" t="s">
        <v>118</v>
      </c>
      <c r="B159" s="110" t="s">
        <v>110</v>
      </c>
      <c r="C159" s="111" t="s">
        <v>119</v>
      </c>
    </row>
    <row r="160" spans="1:4">
      <c r="A160" s="307" t="s">
        <v>294</v>
      </c>
      <c r="B160" s="308" t="s">
        <v>98</v>
      </c>
      <c r="C160" s="308" t="s">
        <v>295</v>
      </c>
      <c r="D160">
        <v>20601989108</v>
      </c>
    </row>
    <row r="161" spans="1:3">
      <c r="A161" s="305" t="s">
        <v>296</v>
      </c>
      <c r="B161" s="309" t="s">
        <v>177</v>
      </c>
      <c r="C161" s="309" t="s">
        <v>172</v>
      </c>
    </row>
    <row r="162" spans="1:3">
      <c r="A162" s="310" t="s">
        <v>297</v>
      </c>
      <c r="B162" s="310" t="s">
        <v>177</v>
      </c>
      <c r="C162" s="310" t="s">
        <v>298</v>
      </c>
    </row>
    <row r="163" spans="1:3">
      <c r="A163" s="258" t="s">
        <v>299</v>
      </c>
      <c r="B163" s="258" t="s">
        <v>110</v>
      </c>
      <c r="C163" s="258" t="s">
        <v>300</v>
      </c>
    </row>
    <row r="164" spans="1:3">
      <c r="A164" s="258" t="s">
        <v>299</v>
      </c>
      <c r="B164" s="258" t="s">
        <v>177</v>
      </c>
      <c r="C164" s="258" t="s">
        <v>301</v>
      </c>
    </row>
    <row r="165" spans="1:3">
      <c r="A165" s="139" t="s">
        <v>302</v>
      </c>
      <c r="B165" s="139" t="s">
        <v>303</v>
      </c>
      <c r="C165" s="139" t="s">
        <v>304</v>
      </c>
    </row>
    <row r="166" spans="1:3" s="10" customFormat="1">
      <c r="A166" s="260" t="s">
        <v>230</v>
      </c>
      <c r="B166" s="261" t="s">
        <v>110</v>
      </c>
      <c r="C166" s="261" t="s">
        <v>305</v>
      </c>
    </row>
    <row r="167" spans="1:3">
      <c r="A167" s="310" t="s">
        <v>306</v>
      </c>
      <c r="B167" s="310" t="s">
        <v>307</v>
      </c>
      <c r="C167" s="310" t="s">
        <v>82</v>
      </c>
    </row>
    <row r="168" spans="1:3">
      <c r="A168" s="314" t="s">
        <v>308</v>
      </c>
      <c r="B168" s="146" t="s">
        <v>177</v>
      </c>
      <c r="C168" s="146" t="s">
        <v>309</v>
      </c>
    </row>
    <row r="169" spans="1:3">
      <c r="A169" s="317" t="s">
        <v>185</v>
      </c>
      <c r="B169" s="248" t="s">
        <v>95</v>
      </c>
      <c r="C169" s="248" t="s">
        <v>186</v>
      </c>
    </row>
    <row r="170" spans="1:3">
      <c r="A170" s="321" t="s">
        <v>310</v>
      </c>
      <c r="B170" s="273" t="s">
        <v>98</v>
      </c>
      <c r="C170" s="273" t="s">
        <v>311</v>
      </c>
    </row>
    <row r="171" spans="1:3">
      <c r="A171" s="318" t="s">
        <v>312</v>
      </c>
      <c r="B171" s="319" t="s">
        <v>98</v>
      </c>
      <c r="C171" s="319" t="s">
        <v>313</v>
      </c>
    </row>
    <row r="172" spans="1:3">
      <c r="A172" s="100" t="s">
        <v>121</v>
      </c>
      <c r="B172" s="100" t="s">
        <v>95</v>
      </c>
      <c r="C172" s="100" t="s">
        <v>122</v>
      </c>
    </row>
    <row r="173" spans="1:3">
      <c r="A173" s="323" t="s">
        <v>351</v>
      </c>
      <c r="B173" s="198" t="s">
        <v>98</v>
      </c>
      <c r="C173" s="198" t="s">
        <v>352</v>
      </c>
    </row>
    <row r="174" spans="1:3">
      <c r="A174" s="229" t="s">
        <v>140</v>
      </c>
      <c r="B174" s="229" t="s">
        <v>98</v>
      </c>
      <c r="C174" s="229" t="s">
        <v>141</v>
      </c>
    </row>
    <row r="175" spans="1:3">
      <c r="A175" s="326" t="s">
        <v>354</v>
      </c>
      <c r="B175" s="326" t="s">
        <v>98</v>
      </c>
      <c r="C175" s="326" t="s">
        <v>355</v>
      </c>
    </row>
    <row r="176" spans="1:3">
      <c r="A176" s="141" t="s">
        <v>149</v>
      </c>
      <c r="B176" s="102" t="s">
        <v>98</v>
      </c>
      <c r="C176" s="102" t="s">
        <v>150</v>
      </c>
    </row>
    <row r="177" spans="1:5">
      <c r="A177" s="329" t="s">
        <v>356</v>
      </c>
      <c r="B177" s="229" t="s">
        <v>303</v>
      </c>
      <c r="C177" s="229" t="s">
        <v>357</v>
      </c>
      <c r="D177" s="328" t="s">
        <v>358</v>
      </c>
      <c r="E177" s="328" t="s">
        <v>284</v>
      </c>
    </row>
    <row r="178" spans="1:5">
      <c r="A178" s="333" t="s">
        <v>202</v>
      </c>
      <c r="B178" s="334" t="s">
        <v>177</v>
      </c>
      <c r="C178" s="334" t="s">
        <v>203</v>
      </c>
    </row>
    <row r="179" spans="1:5">
      <c r="A179" s="143" t="s">
        <v>153</v>
      </c>
      <c r="B179" s="116" t="s">
        <v>98</v>
      </c>
      <c r="C179" s="116" t="s">
        <v>154</v>
      </c>
    </row>
    <row r="180" spans="1:5">
      <c r="A180" s="343" t="s">
        <v>360</v>
      </c>
      <c r="B180" s="342" t="s">
        <v>98</v>
      </c>
      <c r="C180" s="342" t="s">
        <v>359</v>
      </c>
    </row>
    <row r="181" spans="1:5">
      <c r="A181" s="219" t="s">
        <v>166</v>
      </c>
      <c r="B181" s="349" t="s">
        <v>98</v>
      </c>
      <c r="C181" s="349" t="s">
        <v>167</v>
      </c>
    </row>
    <row r="182" spans="1:5">
      <c r="A182" s="102" t="s">
        <v>361</v>
      </c>
      <c r="B182" s="102" t="s">
        <v>177</v>
      </c>
      <c r="C182" s="102" t="s">
        <v>362</v>
      </c>
    </row>
    <row r="183" spans="1:5">
      <c r="A183" s="317" t="s">
        <v>185</v>
      </c>
      <c r="B183" s="248" t="s">
        <v>95</v>
      </c>
      <c r="C183" s="248" t="s">
        <v>186</v>
      </c>
    </row>
    <row r="184" spans="1:5">
      <c r="A184" s="353" t="s">
        <v>366</v>
      </c>
      <c r="B184" s="351" t="s">
        <v>98</v>
      </c>
      <c r="C184" s="351" t="s">
        <v>363</v>
      </c>
    </row>
    <row r="185" spans="1:5">
      <c r="A185" s="352" t="s">
        <v>364</v>
      </c>
      <c r="B185" s="352" t="s">
        <v>98</v>
      </c>
      <c r="C185" s="352" t="s">
        <v>365</v>
      </c>
    </row>
    <row r="186" spans="1:5">
      <c r="A186" s="360" t="s">
        <v>367</v>
      </c>
      <c r="B186" s="360" t="s">
        <v>177</v>
      </c>
      <c r="C186" s="360" t="s">
        <v>384</v>
      </c>
    </row>
    <row r="187" spans="1:5">
      <c r="A187" s="373" t="s">
        <v>368</v>
      </c>
      <c r="B187" s="361" t="s">
        <v>98</v>
      </c>
      <c r="C187" s="361" t="s">
        <v>369</v>
      </c>
    </row>
    <row r="188" spans="1:5">
      <c r="A188" s="374" t="s">
        <v>370</v>
      </c>
      <c r="B188" s="362" t="s">
        <v>98</v>
      </c>
      <c r="C188" s="362" t="s">
        <v>371</v>
      </c>
    </row>
    <row r="189" spans="1:5">
      <c r="A189" s="375" t="s">
        <v>372</v>
      </c>
      <c r="B189" s="363" t="s">
        <v>347</v>
      </c>
      <c r="C189" s="363" t="s">
        <v>373</v>
      </c>
      <c r="D189" s="363" t="s">
        <v>284</v>
      </c>
    </row>
    <row r="190" spans="1:5">
      <c r="A190" s="376" t="s">
        <v>374</v>
      </c>
      <c r="B190" s="364" t="s">
        <v>98</v>
      </c>
      <c r="C190" s="364" t="s">
        <v>375</v>
      </c>
    </row>
    <row r="191" spans="1:5">
      <c r="A191" s="377" t="s">
        <v>376</v>
      </c>
      <c r="B191" s="365" t="s">
        <v>377</v>
      </c>
      <c r="C191" s="365" t="s">
        <v>378</v>
      </c>
    </row>
    <row r="192" spans="1:5">
      <c r="A192" s="378" t="s">
        <v>379</v>
      </c>
      <c r="B192" s="369" t="s">
        <v>98</v>
      </c>
      <c r="C192" s="369" t="s">
        <v>188</v>
      </c>
    </row>
    <row r="193" spans="1:3">
      <c r="A193" s="379" t="s">
        <v>380</v>
      </c>
      <c r="B193" s="371" t="s">
        <v>98</v>
      </c>
      <c r="C193" s="371" t="s">
        <v>381</v>
      </c>
    </row>
    <row r="194" spans="1:3">
      <c r="A194" s="380" t="s">
        <v>382</v>
      </c>
      <c r="B194" s="365" t="s">
        <v>177</v>
      </c>
      <c r="C194" s="365" t="s">
        <v>383</v>
      </c>
    </row>
    <row r="195" spans="1:3">
      <c r="A195" s="382" t="s">
        <v>385</v>
      </c>
      <c r="B195" s="386" t="s">
        <v>177</v>
      </c>
      <c r="C195" s="386" t="s">
        <v>386</v>
      </c>
    </row>
    <row r="196" spans="1:3">
      <c r="A196" s="387" t="s">
        <v>387</v>
      </c>
      <c r="B196" s="387" t="s">
        <v>32</v>
      </c>
      <c r="C196" s="387" t="s">
        <v>388</v>
      </c>
    </row>
    <row r="197" spans="1:3">
      <c r="A197" s="388" t="s">
        <v>389</v>
      </c>
      <c r="B197" s="386" t="s">
        <v>98</v>
      </c>
      <c r="C197" s="386" t="s">
        <v>390</v>
      </c>
    </row>
    <row r="198" spans="1:3">
      <c r="A198" s="276" t="s">
        <v>391</v>
      </c>
      <c r="B198" s="276" t="s">
        <v>98</v>
      </c>
      <c r="C198" s="276" t="s">
        <v>392</v>
      </c>
    </row>
    <row r="199" spans="1:3">
      <c r="A199" s="399" t="s">
        <v>395</v>
      </c>
      <c r="B199" s="399" t="s">
        <v>177</v>
      </c>
      <c r="C199" s="399" t="s">
        <v>394</v>
      </c>
    </row>
    <row r="200" spans="1:3">
      <c r="A200" s="400" t="s">
        <v>396</v>
      </c>
      <c r="B200" s="352" t="s">
        <v>98</v>
      </c>
      <c r="C200" s="352" t="s">
        <v>397</v>
      </c>
    </row>
    <row r="201" spans="1:3">
      <c r="A201" s="276" t="s">
        <v>398</v>
      </c>
      <c r="B201" s="328" t="s">
        <v>98</v>
      </c>
      <c r="C201" s="328" t="s">
        <v>399</v>
      </c>
    </row>
    <row r="202" spans="1:3">
      <c r="A202" s="402" t="s">
        <v>400</v>
      </c>
      <c r="B202" s="369" t="s">
        <v>177</v>
      </c>
      <c r="C202" s="369" t="s">
        <v>401</v>
      </c>
    </row>
    <row r="203" spans="1:3">
      <c r="A203" s="403" t="s">
        <v>402</v>
      </c>
      <c r="B203" s="328" t="s">
        <v>177</v>
      </c>
      <c r="C203" s="328" t="s">
        <v>403</v>
      </c>
    </row>
    <row r="204" spans="1:3">
      <c r="A204" s="404" t="s">
        <v>404</v>
      </c>
      <c r="B204" s="351" t="s">
        <v>98</v>
      </c>
      <c r="C204" s="351" t="s">
        <v>405</v>
      </c>
    </row>
    <row r="205" spans="1:3">
      <c r="A205" s="405" t="s">
        <v>406</v>
      </c>
      <c r="B205" s="401" t="s">
        <v>98</v>
      </c>
      <c r="C205" s="401" t="s">
        <v>407</v>
      </c>
    </row>
    <row r="206" spans="1:3">
      <c r="A206" s="386" t="s">
        <v>408</v>
      </c>
      <c r="B206" s="360" t="s">
        <v>98</v>
      </c>
      <c r="C206" s="360" t="s">
        <v>409</v>
      </c>
    </row>
    <row r="207" spans="1:3">
      <c r="A207" s="406" t="s">
        <v>410</v>
      </c>
      <c r="B207" s="328" t="s">
        <v>98</v>
      </c>
      <c r="C207" s="328" t="s">
        <v>411</v>
      </c>
    </row>
    <row r="208" spans="1:3">
      <c r="A208" s="399" t="s">
        <v>412</v>
      </c>
      <c r="B208" s="399" t="s">
        <v>303</v>
      </c>
      <c r="C208" s="399" t="s">
        <v>413</v>
      </c>
    </row>
    <row r="209" spans="1:3">
      <c r="A209" s="407" t="s">
        <v>414</v>
      </c>
      <c r="B209" s="407" t="s">
        <v>177</v>
      </c>
      <c r="C209" s="407" t="s">
        <v>415</v>
      </c>
    </row>
    <row r="210" spans="1:3">
      <c r="A210" s="360" t="s">
        <v>416</v>
      </c>
      <c r="B210" s="360" t="s">
        <v>177</v>
      </c>
      <c r="C210" s="360" t="s">
        <v>203</v>
      </c>
    </row>
    <row r="211" spans="1:3">
      <c r="A211" s="409" t="s">
        <v>127</v>
      </c>
      <c r="B211" s="409" t="s">
        <v>98</v>
      </c>
      <c r="C211" s="409" t="s">
        <v>71</v>
      </c>
    </row>
    <row r="212" spans="1:3">
      <c r="A212" s="410" t="s">
        <v>417</v>
      </c>
      <c r="B212" s="411" t="s">
        <v>98</v>
      </c>
      <c r="C212" s="411" t="s">
        <v>418</v>
      </c>
    </row>
    <row r="213" spans="1:3">
      <c r="A213" s="412" t="s">
        <v>419</v>
      </c>
      <c r="B213" s="407" t="s">
        <v>98</v>
      </c>
      <c r="C213" s="407" t="s">
        <v>381</v>
      </c>
    </row>
    <row r="214" spans="1:3">
      <c r="A214" s="435" t="s">
        <v>420</v>
      </c>
      <c r="B214" s="413" t="s">
        <v>98</v>
      </c>
      <c r="C214" s="413" t="s">
        <v>421</v>
      </c>
    </row>
    <row r="215" spans="1:3">
      <c r="A215" s="682" t="s">
        <v>424</v>
      </c>
      <c r="B215" s="434" t="s">
        <v>110</v>
      </c>
      <c r="C215" s="434" t="s">
        <v>425</v>
      </c>
    </row>
    <row r="216" spans="1:3">
      <c r="A216" s="682"/>
      <c r="B216" s="434" t="s">
        <v>177</v>
      </c>
      <c r="C216" s="434" t="s">
        <v>426</v>
      </c>
    </row>
    <row r="217" spans="1:3">
      <c r="A217" s="455" t="s">
        <v>428</v>
      </c>
      <c r="B217" s="455" t="s">
        <v>177</v>
      </c>
      <c r="C217" s="455" t="s">
        <v>429</v>
      </c>
    </row>
    <row r="218" spans="1:3">
      <c r="A218" s="681" t="s">
        <v>430</v>
      </c>
      <c r="B218" s="456" t="s">
        <v>98</v>
      </c>
      <c r="C218" s="456" t="s">
        <v>431</v>
      </c>
    </row>
    <row r="219" spans="1:3">
      <c r="A219" s="681"/>
      <c r="B219" s="456" t="s">
        <v>177</v>
      </c>
      <c r="C219" s="456" t="s">
        <v>432</v>
      </c>
    </row>
    <row r="220" spans="1:3">
      <c r="A220" s="326" t="s">
        <v>433</v>
      </c>
      <c r="B220" s="326" t="s">
        <v>98</v>
      </c>
      <c r="C220" s="326" t="s">
        <v>434</v>
      </c>
    </row>
    <row r="221" spans="1:3">
      <c r="A221" s="476" t="s">
        <v>438</v>
      </c>
      <c r="B221" s="476" t="s">
        <v>98</v>
      </c>
      <c r="C221" s="476" t="s">
        <v>439</v>
      </c>
    </row>
    <row r="222" spans="1:3">
      <c r="A222" s="483" t="s">
        <v>440</v>
      </c>
      <c r="B222" s="483" t="s">
        <v>98</v>
      </c>
      <c r="C222" s="483" t="s">
        <v>441</v>
      </c>
    </row>
    <row r="223" spans="1:3">
      <c r="A223" s="484" t="s">
        <v>442</v>
      </c>
      <c r="B223" s="276" t="s">
        <v>177</v>
      </c>
      <c r="C223" s="276" t="s">
        <v>443</v>
      </c>
    </row>
    <row r="224" spans="1:3">
      <c r="A224" s="485" t="s">
        <v>445</v>
      </c>
      <c r="B224" s="386" t="s">
        <v>98</v>
      </c>
      <c r="C224" s="386" t="s">
        <v>444</v>
      </c>
    </row>
    <row r="225" spans="1:3">
      <c r="A225" s="483" t="s">
        <v>446</v>
      </c>
      <c r="B225" s="483" t="s">
        <v>177</v>
      </c>
      <c r="C225" s="483" t="s">
        <v>447</v>
      </c>
    </row>
    <row r="226" spans="1:3" ht="15" thickBot="1">
      <c r="A226" s="487" t="s">
        <v>448</v>
      </c>
      <c r="B226" s="412" t="s">
        <v>98</v>
      </c>
      <c r="C226" s="412" t="s">
        <v>449</v>
      </c>
    </row>
    <row r="227" spans="1:3">
      <c r="A227" s="491" t="s">
        <v>450</v>
      </c>
      <c r="B227" t="s">
        <v>303</v>
      </c>
      <c r="C227" s="490" t="s">
        <v>451</v>
      </c>
    </row>
    <row r="228" spans="1:3">
      <c r="A228" t="s">
        <v>452</v>
      </c>
      <c r="B228" t="s">
        <v>177</v>
      </c>
      <c r="C228" t="s">
        <v>453</v>
      </c>
    </row>
    <row r="229" spans="1:3">
      <c r="A229" t="s">
        <v>395</v>
      </c>
      <c r="B229" t="s">
        <v>98</v>
      </c>
      <c r="C229" s="522" t="s">
        <v>454</v>
      </c>
    </row>
  </sheetData>
  <autoFilter ref="A65:E217" xr:uid="{074E9A04-37AA-448A-BBC4-FED57071FCF3}"/>
  <mergeCells count="9">
    <mergeCell ref="A218:A219"/>
    <mergeCell ref="A215:A216"/>
    <mergeCell ref="A1:C1"/>
    <mergeCell ref="A70:A71"/>
    <mergeCell ref="A102:A103"/>
    <mergeCell ref="A95:A96"/>
    <mergeCell ref="A50:A51"/>
    <mergeCell ref="A16:A19"/>
    <mergeCell ref="A12:A13"/>
  </mergeCells>
  <phoneticPr fontId="10" type="noConversion"/>
  <hyperlinks>
    <hyperlink ref="B9" r:id="rId1" xr:uid="{00000000-0004-0000-0000-000000000000}"/>
    <hyperlink ref="B8" r:id="rId2" xr:uid="{00000000-0004-0000-0000-000001000000}"/>
    <hyperlink ref="B6" r:id="rId3" xr:uid="{00000000-0004-0000-0000-000002000000}"/>
    <hyperlink ref="B5" r:id="rId4" xr:uid="{00000000-0004-0000-0000-000003000000}"/>
    <hyperlink ref="B4" r:id="rId5" xr:uid="{00000000-0004-0000-0000-000004000000}"/>
  </hyperlinks>
  <pageMargins left="0.7" right="0.7" top="0.75" bottom="0.75" header="0.3" footer="0.3"/>
  <pageSetup paperSize="9" orientation="portrait" horizontalDpi="360" verticalDpi="36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06E5-826B-40FC-A3D8-FBF6ACDD15A8}"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20A1-5D40-4004-8DD7-9BEABE2FC966}">
  <dimension ref="A1"/>
  <sheetViews>
    <sheetView topLeftCell="A6" workbookViewId="0">
      <selection activeCell="K26" sqref="K25:K26"/>
    </sheetView>
  </sheetViews>
  <sheetFormatPr baseColWidth="10" defaultColWidth="11.44140625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P252"/>
  <sheetViews>
    <sheetView showGridLines="0" tabSelected="1" topLeftCell="A112" zoomScale="70" zoomScaleNormal="70" workbookViewId="0">
      <selection activeCell="H120" sqref="H120"/>
    </sheetView>
  </sheetViews>
  <sheetFormatPr baseColWidth="10" defaultColWidth="11.44140625" defaultRowHeight="14.4"/>
  <cols>
    <col min="1" max="1" width="3" customWidth="1"/>
    <col min="2" max="2" width="16.88671875" style="9" customWidth="1"/>
    <col min="3" max="3" width="30.5546875" customWidth="1"/>
    <col min="4" max="4" width="29.44140625" customWidth="1"/>
    <col min="5" max="5" width="24" style="4" customWidth="1"/>
    <col min="6" max="6" width="25.109375" style="162" customWidth="1"/>
    <col min="7" max="7" width="38.44140625" style="35" customWidth="1"/>
    <col min="8" max="8" width="25.109375" style="40" customWidth="1"/>
    <col min="9" max="9" width="43" style="40" customWidth="1"/>
    <col min="10" max="10" width="22.33203125" style="335" customWidth="1"/>
    <col min="11" max="11" width="29.109375" style="194" customWidth="1"/>
    <col min="12" max="12" width="11.44140625" style="194" customWidth="1"/>
    <col min="13" max="13" width="19.33203125" style="194" customWidth="1"/>
    <col min="14" max="14" width="11.44140625" style="194" customWidth="1"/>
    <col min="15" max="15" width="11.6640625" style="194" bestFit="1" customWidth="1"/>
    <col min="16" max="16" width="11.44140625" style="194"/>
  </cols>
  <sheetData>
    <row r="1" spans="1:16" ht="17.25" hidden="1" customHeight="1" thickBot="1">
      <c r="A1" s="11"/>
      <c r="B1" s="424"/>
      <c r="C1" s="425"/>
      <c r="D1" s="426"/>
      <c r="E1" s="427"/>
      <c r="F1" s="450"/>
      <c r="G1" s="463"/>
      <c r="H1" s="95"/>
      <c r="I1" s="2"/>
      <c r="J1" s="311"/>
      <c r="K1" s="397"/>
      <c r="L1" s="397"/>
      <c r="M1" s="397"/>
      <c r="N1" s="397"/>
      <c r="O1" s="397"/>
      <c r="P1" s="397"/>
    </row>
    <row r="2" spans="1:16" ht="17.25" hidden="1" customHeight="1" thickBot="1">
      <c r="A2" s="11"/>
      <c r="B2" s="617" t="s">
        <v>427</v>
      </c>
      <c r="C2" s="618"/>
      <c r="D2" s="618"/>
      <c r="E2" s="619"/>
      <c r="F2" s="450"/>
      <c r="G2" s="463"/>
      <c r="H2" s="95"/>
      <c r="I2" s="2"/>
      <c r="J2" s="311"/>
      <c r="K2" s="397"/>
      <c r="L2" s="397"/>
      <c r="M2" s="397"/>
      <c r="N2" s="397"/>
      <c r="O2" s="397"/>
      <c r="P2" s="397"/>
    </row>
    <row r="3" spans="1:16" ht="17.25" hidden="1" customHeight="1" thickBot="1">
      <c r="A3" s="11"/>
      <c r="B3" s="76" t="s">
        <v>314</v>
      </c>
      <c r="C3" s="76" t="s">
        <v>315</v>
      </c>
      <c r="D3" s="76" t="s">
        <v>316</v>
      </c>
      <c r="E3" s="50" t="s">
        <v>330</v>
      </c>
      <c r="F3" s="450"/>
      <c r="G3" s="463"/>
      <c r="H3" s="95"/>
      <c r="I3" s="2"/>
      <c r="J3" s="311"/>
      <c r="K3" s="397"/>
      <c r="L3" s="397"/>
      <c r="M3" s="397"/>
      <c r="N3" s="397"/>
      <c r="O3" s="397"/>
      <c r="P3" s="397"/>
    </row>
    <row r="4" spans="1:16" ht="17.25" hidden="1" customHeight="1">
      <c r="A4" s="11"/>
      <c r="B4" s="56"/>
      <c r="C4" s="370"/>
      <c r="D4" s="55"/>
      <c r="E4" s="227"/>
      <c r="F4" s="450"/>
      <c r="G4" s="463"/>
      <c r="H4" s="95"/>
      <c r="I4" s="2"/>
      <c r="J4" s="311"/>
      <c r="K4" s="397"/>
      <c r="L4" s="397"/>
      <c r="M4" s="397"/>
      <c r="N4" s="397"/>
      <c r="O4" s="397"/>
      <c r="P4" s="397"/>
    </row>
    <row r="5" spans="1:16" ht="17.25" hidden="1" customHeight="1">
      <c r="A5" s="11"/>
      <c r="B5" s="158"/>
      <c r="C5" s="451"/>
      <c r="D5" s="452"/>
      <c r="E5" s="436"/>
      <c r="F5" s="450"/>
      <c r="G5" s="463"/>
      <c r="H5" s="95"/>
      <c r="I5" s="2"/>
      <c r="J5" s="311"/>
      <c r="K5" s="397"/>
      <c r="L5" s="397"/>
      <c r="M5" s="397"/>
      <c r="N5" s="397"/>
      <c r="O5" s="397"/>
      <c r="P5" s="397"/>
    </row>
    <row r="6" spans="1:16" ht="17.25" hidden="1" customHeight="1" thickBot="1">
      <c r="A6" s="11"/>
      <c r="B6" s="395"/>
      <c r="C6" s="78"/>
      <c r="D6" s="78"/>
      <c r="E6" s="341"/>
      <c r="F6" s="454"/>
      <c r="G6" s="463"/>
      <c r="H6" s="95"/>
      <c r="I6" s="2"/>
      <c r="J6" s="311"/>
      <c r="K6" s="397"/>
      <c r="L6" s="397"/>
      <c r="M6" s="397"/>
      <c r="N6" s="397"/>
      <c r="O6" s="397"/>
      <c r="P6" s="397"/>
    </row>
    <row r="7" spans="1:16" ht="17.25" hidden="1" customHeight="1" thickBot="1">
      <c r="A7" s="11"/>
      <c r="B7" s="620" t="s">
        <v>318</v>
      </c>
      <c r="C7" s="621"/>
      <c r="D7" s="622"/>
      <c r="E7" s="49">
        <f>SUM(E4:E6)</f>
        <v>0</v>
      </c>
      <c r="F7" s="450"/>
      <c r="G7" s="463"/>
      <c r="H7" s="95"/>
      <c r="I7" s="2"/>
      <c r="J7" s="311"/>
      <c r="K7" s="397"/>
      <c r="L7" s="397"/>
      <c r="M7" s="397"/>
      <c r="N7" s="397"/>
      <c r="O7" s="397"/>
      <c r="P7" s="397"/>
    </row>
    <row r="8" spans="1:16" ht="10.199999999999999" customHeight="1" thickBot="1">
      <c r="A8" s="11"/>
      <c r="B8" s="424"/>
      <c r="C8" s="425"/>
      <c r="D8" s="426"/>
      <c r="E8" s="427"/>
      <c r="F8" s="450"/>
      <c r="G8" s="464"/>
      <c r="H8" s="95"/>
      <c r="I8" s="2"/>
      <c r="J8" s="311"/>
      <c r="K8" s="397"/>
      <c r="L8" s="397"/>
      <c r="M8" s="397"/>
      <c r="N8" s="397"/>
      <c r="O8" s="397"/>
      <c r="P8" s="397"/>
    </row>
    <row r="9" spans="1:16" ht="13.5" customHeight="1" thickBot="1">
      <c r="A9" s="11"/>
      <c r="B9" s="595" t="s">
        <v>435</v>
      </c>
      <c r="C9" s="596"/>
      <c r="D9" s="596"/>
      <c r="E9" s="596"/>
      <c r="F9" s="596"/>
      <c r="G9" s="596"/>
      <c r="H9" s="597"/>
      <c r="I9" s="174"/>
      <c r="J9" s="75"/>
      <c r="K9" s="8"/>
      <c r="L9" s="3"/>
      <c r="M9" s="3"/>
    </row>
    <row r="10" spans="1:16" ht="13.5" customHeight="1" thickBot="1">
      <c r="A10" s="11"/>
      <c r="B10" s="502" t="s">
        <v>314</v>
      </c>
      <c r="C10" s="502" t="s">
        <v>315</v>
      </c>
      <c r="D10" s="502" t="s">
        <v>316</v>
      </c>
      <c r="E10" s="503" t="s">
        <v>317</v>
      </c>
      <c r="F10" s="503" t="s">
        <v>319</v>
      </c>
      <c r="G10" s="503" t="s">
        <v>314</v>
      </c>
      <c r="H10" s="506" t="s">
        <v>321</v>
      </c>
      <c r="I10" s="175"/>
      <c r="J10" s="509"/>
      <c r="K10" s="175"/>
      <c r="L10" s="12"/>
      <c r="M10" s="3"/>
      <c r="N10" s="3"/>
    </row>
    <row r="11" spans="1:16" ht="13.5" customHeight="1">
      <c r="A11" s="11"/>
      <c r="B11" s="478"/>
      <c r="C11" s="479"/>
      <c r="D11" s="479"/>
      <c r="E11" s="529"/>
      <c r="F11" s="573"/>
      <c r="G11" s="480"/>
      <c r="H11" s="513"/>
      <c r="I11" s="175"/>
      <c r="J11" s="181"/>
      <c r="K11" s="36"/>
      <c r="L11" s="12"/>
      <c r="M11" s="3"/>
      <c r="N11" s="3"/>
    </row>
    <row r="12" spans="1:16" ht="13.5" customHeight="1">
      <c r="A12" s="11"/>
      <c r="B12" s="478"/>
      <c r="C12" s="479"/>
      <c r="D12" s="479"/>
      <c r="E12" s="529"/>
      <c r="F12" s="262"/>
      <c r="G12" s="480"/>
      <c r="H12" s="513"/>
      <c r="I12" s="175"/>
      <c r="J12" s="548"/>
      <c r="K12" s="36"/>
      <c r="L12" s="8"/>
      <c r="M12" s="3"/>
      <c r="N12" s="3"/>
    </row>
    <row r="13" spans="1:16" ht="13.5" customHeight="1">
      <c r="A13" s="11"/>
      <c r="B13" s="478"/>
      <c r="C13" s="479"/>
      <c r="D13" s="479"/>
      <c r="E13" s="529"/>
      <c r="F13" s="262"/>
      <c r="G13" s="480"/>
      <c r="H13" s="513"/>
      <c r="I13" s="175"/>
      <c r="J13" s="181"/>
      <c r="K13" s="8"/>
      <c r="L13" s="3"/>
      <c r="M13" s="3"/>
    </row>
    <row r="14" spans="1:16" ht="13.5" customHeight="1">
      <c r="A14" s="11"/>
      <c r="B14" s="478"/>
      <c r="C14" s="479"/>
      <c r="D14" s="479"/>
      <c r="E14" s="529"/>
      <c r="F14" s="262"/>
      <c r="G14" s="480"/>
      <c r="H14" s="513"/>
      <c r="I14" s="175"/>
      <c r="J14" s="181"/>
      <c r="K14" s="8"/>
      <c r="L14" s="3"/>
      <c r="M14" s="3"/>
    </row>
    <row r="15" spans="1:16" ht="13.5" customHeight="1">
      <c r="A15" s="11"/>
      <c r="B15" s="478"/>
      <c r="C15" s="479"/>
      <c r="D15" s="479"/>
      <c r="E15" s="529"/>
      <c r="F15" s="262"/>
      <c r="G15" s="480"/>
      <c r="H15" s="513"/>
      <c r="I15" s="175"/>
      <c r="J15" s="181"/>
      <c r="K15" s="8"/>
      <c r="L15" s="3"/>
      <c r="M15" s="3"/>
    </row>
    <row r="16" spans="1:16" ht="13.5" customHeight="1">
      <c r="A16" s="11"/>
      <c r="B16" s="478"/>
      <c r="C16" s="479"/>
      <c r="D16" s="479"/>
      <c r="E16" s="529"/>
      <c r="F16" s="262"/>
      <c r="G16" s="480"/>
      <c r="H16" s="513"/>
      <c r="I16" s="175"/>
      <c r="J16" s="181"/>
      <c r="K16" s="8"/>
      <c r="L16" s="3"/>
      <c r="M16" s="3"/>
    </row>
    <row r="17" spans="1:16" ht="13.5" customHeight="1">
      <c r="A17" s="11"/>
      <c r="B17" s="478"/>
      <c r="C17" s="479"/>
      <c r="D17" s="479"/>
      <c r="E17" s="529"/>
      <c r="F17" s="262"/>
      <c r="G17" s="480"/>
      <c r="H17" s="513"/>
      <c r="I17" s="175"/>
      <c r="J17" s="181"/>
      <c r="K17" s="8"/>
      <c r="L17" s="3"/>
      <c r="M17" s="3"/>
    </row>
    <row r="18" spans="1:16" ht="13.5" customHeight="1">
      <c r="A18" s="11"/>
      <c r="B18" s="478"/>
      <c r="C18" s="479"/>
      <c r="D18" s="479"/>
      <c r="E18" s="529"/>
      <c r="F18" s="262"/>
      <c r="G18" s="480"/>
      <c r="H18" s="513"/>
      <c r="I18" s="175"/>
      <c r="J18" s="181"/>
      <c r="K18" s="8"/>
      <c r="L18" s="3"/>
      <c r="M18" s="3"/>
    </row>
    <row r="19" spans="1:16" ht="13.5" customHeight="1">
      <c r="A19" s="11"/>
      <c r="B19" s="478"/>
      <c r="C19" s="479"/>
      <c r="D19" s="479"/>
      <c r="E19" s="529"/>
      <c r="F19" s="262"/>
      <c r="G19" s="480"/>
      <c r="H19" s="513"/>
      <c r="I19" s="175"/>
      <c r="J19" s="181"/>
      <c r="K19" s="8"/>
      <c r="L19" s="3"/>
      <c r="M19" s="3"/>
    </row>
    <row r="20" spans="1:16" ht="13.5" customHeight="1">
      <c r="A20" s="11"/>
      <c r="B20" s="478"/>
      <c r="C20" s="479"/>
      <c r="D20" s="77"/>
      <c r="E20" s="465"/>
      <c r="F20" s="465"/>
      <c r="G20" s="82"/>
      <c r="H20" s="507"/>
      <c r="I20" s="175"/>
      <c r="J20" s="509"/>
      <c r="K20" s="12"/>
      <c r="L20" s="3"/>
      <c r="M20" s="3"/>
    </row>
    <row r="21" spans="1:16" ht="13.5" customHeight="1">
      <c r="A21" s="11"/>
      <c r="B21" s="478"/>
      <c r="C21" s="77"/>
      <c r="D21" s="77"/>
      <c r="E21" s="465"/>
      <c r="F21" s="465"/>
      <c r="G21" s="82"/>
      <c r="H21" s="507"/>
      <c r="I21" s="175"/>
      <c r="J21" s="175"/>
      <c r="K21" s="12"/>
      <c r="L21" s="3"/>
      <c r="M21" s="3"/>
    </row>
    <row r="22" spans="1:16" ht="13.5" customHeight="1">
      <c r="A22" s="11"/>
      <c r="B22" s="478"/>
      <c r="C22" s="77"/>
      <c r="D22" s="510"/>
      <c r="E22" s="465"/>
      <c r="F22" s="465"/>
      <c r="G22" s="82"/>
      <c r="H22" s="507"/>
      <c r="I22" s="175"/>
      <c r="J22" s="175"/>
      <c r="K22" s="12"/>
      <c r="L22" s="3"/>
      <c r="M22" s="3"/>
    </row>
    <row r="23" spans="1:16" ht="13.5" customHeight="1">
      <c r="A23" s="11"/>
      <c r="B23" s="478"/>
      <c r="C23" s="77"/>
      <c r="D23" s="510"/>
      <c r="E23" s="465"/>
      <c r="F23" s="465"/>
      <c r="G23" s="82"/>
      <c r="H23" s="507"/>
      <c r="I23" s="175"/>
      <c r="J23" s="175"/>
      <c r="K23" s="12"/>
      <c r="L23" s="3"/>
      <c r="M23" s="3"/>
    </row>
    <row r="24" spans="1:16" ht="13.5" customHeight="1">
      <c r="A24" s="11"/>
      <c r="B24" s="478"/>
      <c r="C24" s="77"/>
      <c r="D24" s="510"/>
      <c r="E24" s="465"/>
      <c r="F24" s="465"/>
      <c r="G24" s="82"/>
      <c r="H24" s="507"/>
      <c r="I24" s="175"/>
      <c r="J24" s="175"/>
      <c r="K24" s="12"/>
      <c r="L24" s="3"/>
      <c r="M24" s="3"/>
    </row>
    <row r="25" spans="1:16" ht="13.5" customHeight="1">
      <c r="A25" s="11"/>
      <c r="B25" s="87"/>
      <c r="C25" s="77"/>
      <c r="D25" s="536"/>
      <c r="E25" s="492"/>
      <c r="F25" s="465"/>
      <c r="G25" s="82"/>
      <c r="H25" s="507"/>
      <c r="I25" s="175"/>
      <c r="J25" s="75"/>
      <c r="K25" s="12"/>
      <c r="L25" s="3"/>
      <c r="M25" s="3"/>
    </row>
    <row r="26" spans="1:16" ht="13.5" customHeight="1" thickBot="1">
      <c r="A26" s="11"/>
      <c r="B26" s="395"/>
      <c r="C26" s="78"/>
      <c r="D26" s="78"/>
      <c r="E26" s="65"/>
      <c r="F26" s="65"/>
      <c r="G26" s="474"/>
      <c r="H26" s="341"/>
      <c r="I26" s="175"/>
      <c r="J26" s="75"/>
      <c r="K26" s="8"/>
      <c r="L26" s="3"/>
      <c r="M26" s="3"/>
      <c r="N26" s="3"/>
      <c r="O26" s="3"/>
      <c r="P26" s="3"/>
    </row>
    <row r="27" spans="1:16" ht="14.25" customHeight="1" thickBot="1">
      <c r="A27" s="11"/>
      <c r="B27" s="598" t="s">
        <v>318</v>
      </c>
      <c r="C27" s="599"/>
      <c r="D27" s="600"/>
      <c r="E27" s="49">
        <f>SUM(E11:E26)</f>
        <v>0</v>
      </c>
      <c r="F27" s="233"/>
      <c r="G27" s="96"/>
      <c r="H27" s="49">
        <f>SUM(H11:H26)</f>
        <v>0</v>
      </c>
      <c r="I27" s="181">
        <f>+H27-E27</f>
        <v>0</v>
      </c>
      <c r="J27" s="311"/>
    </row>
    <row r="28" spans="1:16" ht="14.25" customHeight="1" thickBot="1">
      <c r="A28" s="11"/>
      <c r="B28" s="486"/>
      <c r="C28" s="486"/>
      <c r="D28" s="486"/>
      <c r="E28" s="8"/>
      <c r="F28" s="313"/>
      <c r="G28" s="396"/>
      <c r="H28" s="2"/>
      <c r="I28" s="2"/>
      <c r="J28" s="311"/>
      <c r="K28" s="397"/>
      <c r="L28" s="397"/>
      <c r="M28" s="397"/>
      <c r="N28" s="397"/>
      <c r="O28" s="397"/>
      <c r="P28" s="397"/>
    </row>
    <row r="29" spans="1:16" ht="16.5" customHeight="1" thickBot="1">
      <c r="A29" s="11"/>
      <c r="B29" s="595" t="s">
        <v>436</v>
      </c>
      <c r="C29" s="596"/>
      <c r="D29" s="596"/>
      <c r="E29" s="596"/>
      <c r="F29" s="596"/>
      <c r="G29" s="596"/>
      <c r="H29" s="597"/>
      <c r="I29" s="174"/>
      <c r="J29" s="546"/>
    </row>
    <row r="30" spans="1:16" ht="14.25" customHeight="1" thickBot="1">
      <c r="A30" s="11"/>
      <c r="B30" s="502" t="s">
        <v>314</v>
      </c>
      <c r="C30" s="502" t="s">
        <v>315</v>
      </c>
      <c r="D30" s="502" t="s">
        <v>316</v>
      </c>
      <c r="E30" s="503" t="s">
        <v>317</v>
      </c>
      <c r="F30" s="504" t="s">
        <v>319</v>
      </c>
      <c r="G30" s="524" t="s">
        <v>320</v>
      </c>
      <c r="H30" s="506" t="s">
        <v>321</v>
      </c>
      <c r="I30" s="175"/>
      <c r="J30" s="311"/>
    </row>
    <row r="31" spans="1:16" ht="14.25" customHeight="1">
      <c r="A31" s="11"/>
      <c r="B31" s="478"/>
      <c r="C31" s="479"/>
      <c r="D31" s="479"/>
      <c r="E31" s="523"/>
      <c r="F31" s="511"/>
      <c r="G31" s="512"/>
      <c r="H31" s="489"/>
      <c r="I31" s="181"/>
      <c r="J31" s="311"/>
    </row>
    <row r="32" spans="1:16" ht="14.25" customHeight="1">
      <c r="A32" s="11"/>
      <c r="B32" s="87"/>
      <c r="C32" s="479"/>
      <c r="D32" s="77"/>
      <c r="E32" s="465"/>
      <c r="F32" s="511"/>
      <c r="G32" s="512"/>
      <c r="H32" s="489"/>
      <c r="I32" s="181"/>
      <c r="J32" s="311"/>
    </row>
    <row r="33" spans="1:16" ht="14.25" customHeight="1">
      <c r="A33" s="11"/>
      <c r="B33" s="87"/>
      <c r="C33" s="479"/>
      <c r="D33" s="77"/>
      <c r="E33" s="465"/>
      <c r="F33" s="511"/>
      <c r="G33" s="512"/>
      <c r="H33" s="489"/>
      <c r="I33" s="181"/>
      <c r="J33" s="311"/>
    </row>
    <row r="34" spans="1:16" ht="14.25" customHeight="1">
      <c r="A34" s="11"/>
      <c r="B34" s="82"/>
      <c r="C34" s="77"/>
      <c r="D34" s="77"/>
      <c r="E34" s="465"/>
      <c r="F34" s="58"/>
      <c r="G34" s="541"/>
      <c r="H34" s="542"/>
      <c r="I34" s="181"/>
      <c r="J34" s="311"/>
    </row>
    <row r="35" spans="1:16" ht="14.25" customHeight="1">
      <c r="A35" s="11"/>
      <c r="B35" s="82"/>
      <c r="C35" s="77"/>
      <c r="D35" s="77"/>
      <c r="E35" s="465"/>
      <c r="F35" s="58"/>
      <c r="G35" s="541"/>
      <c r="H35" s="542"/>
      <c r="I35" s="181"/>
      <c r="J35" s="311"/>
    </row>
    <row r="36" spans="1:16" ht="14.25" customHeight="1">
      <c r="A36" s="11"/>
      <c r="B36" s="82"/>
      <c r="C36" s="77"/>
      <c r="D36" s="77"/>
      <c r="E36" s="465"/>
      <c r="F36" s="58"/>
      <c r="G36" s="541"/>
      <c r="H36" s="542"/>
      <c r="I36" s="181"/>
      <c r="J36" s="311"/>
    </row>
    <row r="37" spans="1:16" ht="14.25" customHeight="1">
      <c r="A37" s="11"/>
      <c r="B37" s="543"/>
      <c r="C37" s="539"/>
      <c r="D37" s="539"/>
      <c r="E37" s="540"/>
      <c r="F37" s="544"/>
      <c r="G37" s="514"/>
      <c r="H37" s="545"/>
      <c r="I37" s="181"/>
      <c r="J37" s="311"/>
    </row>
    <row r="38" spans="1:16" ht="14.25" customHeight="1">
      <c r="A38" s="11"/>
      <c r="B38" s="543"/>
      <c r="C38" s="539"/>
      <c r="D38" s="539"/>
      <c r="E38" s="540"/>
      <c r="F38" s="544"/>
      <c r="G38" s="514"/>
      <c r="H38" s="545"/>
      <c r="I38" s="181"/>
      <c r="J38" s="311"/>
    </row>
    <row r="39" spans="1:16" ht="14.25" customHeight="1">
      <c r="A39" s="11"/>
      <c r="B39" s="543"/>
      <c r="C39" s="539"/>
      <c r="D39" s="539"/>
      <c r="E39" s="540"/>
      <c r="F39" s="544"/>
      <c r="G39" s="514"/>
      <c r="H39" s="545"/>
      <c r="I39" s="181"/>
      <c r="J39" s="311"/>
    </row>
    <row r="40" spans="1:16" ht="16.5" customHeight="1" thickBot="1">
      <c r="B40" s="477"/>
      <c r="C40" s="192"/>
      <c r="D40" s="192"/>
      <c r="E40" s="316"/>
      <c r="F40" s="65"/>
      <c r="G40" s="372"/>
      <c r="H40" s="350"/>
      <c r="I40" s="312"/>
      <c r="J40" s="311"/>
    </row>
    <row r="41" spans="1:16" ht="14.25" customHeight="1" thickBot="1">
      <c r="A41" s="11"/>
      <c r="B41" s="626" t="s">
        <v>318</v>
      </c>
      <c r="C41" s="627"/>
      <c r="D41" s="628"/>
      <c r="E41" s="526">
        <f>SUM(E31:E40)</f>
        <v>0</v>
      </c>
      <c r="F41" s="527"/>
      <c r="G41" s="528"/>
      <c r="H41" s="526">
        <f>SUM(H31:H40)</f>
        <v>0</v>
      </c>
      <c r="I41" s="181">
        <f>+H41-E41</f>
        <v>0</v>
      </c>
      <c r="J41" s="311"/>
    </row>
    <row r="42" spans="1:16" ht="12.75" customHeight="1">
      <c r="A42" s="11"/>
      <c r="B42" s="95"/>
      <c r="C42" s="95"/>
      <c r="D42" s="95"/>
      <c r="E42" s="8"/>
      <c r="F42" s="525"/>
      <c r="H42" s="8"/>
      <c r="I42" s="181"/>
      <c r="J42" s="311"/>
    </row>
    <row r="43" spans="1:16" ht="12.75" customHeight="1" thickBot="1">
      <c r="A43" s="11"/>
      <c r="B43" s="95"/>
      <c r="C43" s="95"/>
      <c r="D43" s="95"/>
      <c r="E43" s="8"/>
      <c r="F43" s="525"/>
      <c r="H43" s="8"/>
      <c r="I43" s="181"/>
      <c r="J43" s="311"/>
    </row>
    <row r="44" spans="1:16" ht="14.25" hidden="1" customHeight="1" thickBot="1">
      <c r="A44" s="11"/>
      <c r="B44" s="595" t="s">
        <v>322</v>
      </c>
      <c r="C44" s="596"/>
      <c r="D44" s="596"/>
      <c r="E44" s="596"/>
      <c r="F44" s="596"/>
      <c r="G44" s="596"/>
      <c r="H44" s="597"/>
      <c r="I44" s="12"/>
      <c r="J44" s="311"/>
    </row>
    <row r="45" spans="1:16" ht="14.25" hidden="1" customHeight="1" thickBot="1">
      <c r="A45" s="11"/>
      <c r="B45" s="415" t="s">
        <v>314</v>
      </c>
      <c r="C45" s="416" t="s">
        <v>315</v>
      </c>
      <c r="D45" s="416" t="s">
        <v>316</v>
      </c>
      <c r="E45" s="417" t="s">
        <v>323</v>
      </c>
      <c r="F45" s="418" t="s">
        <v>324</v>
      </c>
      <c r="G45" s="46" t="s">
        <v>320</v>
      </c>
      <c r="H45" s="419" t="s">
        <v>325</v>
      </c>
      <c r="I45" s="8"/>
      <c r="J45" s="311"/>
    </row>
    <row r="46" spans="1:16" ht="14.25" hidden="1" customHeight="1" thickBot="1">
      <c r="A46" s="11"/>
      <c r="B46" s="56"/>
      <c r="C46" s="55"/>
      <c r="D46" s="55"/>
      <c r="E46" s="390"/>
      <c r="F46" s="390"/>
      <c r="G46" s="107"/>
      <c r="H46" s="227"/>
      <c r="I46" s="8"/>
      <c r="J46" s="311"/>
      <c r="K46" s="3"/>
      <c r="L46" s="3"/>
      <c r="M46" s="3"/>
      <c r="N46" s="3"/>
      <c r="O46" s="3"/>
      <c r="P46" s="3"/>
    </row>
    <row r="47" spans="1:16" ht="14.25" hidden="1" customHeight="1">
      <c r="A47" s="11"/>
      <c r="B47" s="543"/>
      <c r="C47" s="55"/>
      <c r="D47" s="539"/>
      <c r="E47" s="262"/>
      <c r="F47" s="262"/>
      <c r="G47" s="480"/>
      <c r="H47" s="357"/>
      <c r="I47" s="8"/>
      <c r="J47" s="311"/>
      <c r="K47" s="3"/>
      <c r="L47" s="3"/>
      <c r="M47" s="3"/>
      <c r="N47" s="3"/>
      <c r="O47" s="3"/>
      <c r="P47" s="3"/>
    </row>
    <row r="48" spans="1:16" ht="14.25" hidden="1" customHeight="1">
      <c r="A48" s="11"/>
      <c r="B48" s="478"/>
      <c r="C48" s="539"/>
      <c r="D48" s="479"/>
      <c r="E48" s="262"/>
      <c r="F48" s="262"/>
      <c r="G48" s="480"/>
      <c r="H48" s="357"/>
      <c r="I48" s="8"/>
      <c r="J48" s="311"/>
      <c r="K48" s="3"/>
      <c r="L48" s="3"/>
      <c r="M48" s="3"/>
      <c r="N48" s="3"/>
      <c r="O48" s="3"/>
      <c r="P48" s="3"/>
    </row>
    <row r="49" spans="1:16" ht="14.25" hidden="1" customHeight="1">
      <c r="A49" s="11"/>
      <c r="B49" s="478"/>
      <c r="C49" s="539"/>
      <c r="D49" s="479"/>
      <c r="E49" s="262"/>
      <c r="F49" s="262"/>
      <c r="G49" s="480"/>
      <c r="H49" s="357"/>
      <c r="I49" s="8"/>
      <c r="J49" s="311"/>
      <c r="K49" s="3"/>
      <c r="L49" s="3"/>
      <c r="M49" s="3"/>
      <c r="N49" s="3"/>
      <c r="O49" s="3"/>
      <c r="P49" s="3"/>
    </row>
    <row r="50" spans="1:16" ht="14.25" hidden="1" customHeight="1">
      <c r="A50" s="11"/>
      <c r="B50" s="82"/>
      <c r="C50" s="539"/>
      <c r="D50" s="77"/>
      <c r="E50" s="465"/>
      <c r="F50" s="465"/>
      <c r="G50" s="82"/>
      <c r="H50" s="547"/>
      <c r="I50" s="8"/>
      <c r="J50" s="311"/>
      <c r="K50" s="3"/>
      <c r="L50" s="3"/>
      <c r="M50" s="3"/>
      <c r="N50" s="3"/>
      <c r="O50" s="3"/>
      <c r="P50" s="3"/>
    </row>
    <row r="51" spans="1:16" ht="14.25" hidden="1" customHeight="1">
      <c r="A51" s="11"/>
      <c r="B51" s="82"/>
      <c r="C51" s="77"/>
      <c r="D51" s="77"/>
      <c r="E51" s="465"/>
      <c r="F51" s="465"/>
      <c r="G51" s="82"/>
      <c r="H51" s="547"/>
      <c r="I51" s="8"/>
      <c r="J51" s="311"/>
      <c r="K51" s="3"/>
      <c r="L51" s="3"/>
      <c r="M51" s="3"/>
      <c r="N51" s="3"/>
      <c r="O51" s="3"/>
      <c r="P51" s="3"/>
    </row>
    <row r="52" spans="1:16" ht="14.25" hidden="1" customHeight="1">
      <c r="A52" s="11"/>
      <c r="B52" s="82"/>
      <c r="C52" s="77"/>
      <c r="D52" s="77"/>
      <c r="E52" s="465"/>
      <c r="F52" s="465"/>
      <c r="G52" s="82"/>
      <c r="H52" s="547"/>
      <c r="I52" s="8"/>
      <c r="J52" s="311"/>
      <c r="K52" s="3"/>
      <c r="L52" s="3"/>
      <c r="M52" s="3"/>
      <c r="N52" s="3"/>
      <c r="O52" s="3"/>
      <c r="P52" s="3"/>
    </row>
    <row r="53" spans="1:16" ht="14.25" hidden="1" customHeight="1" thickBot="1">
      <c r="A53" s="11"/>
      <c r="B53" s="481"/>
      <c r="C53" s="482"/>
      <c r="D53" s="482"/>
      <c r="E53" s="471"/>
      <c r="F53" s="65"/>
      <c r="G53" s="106"/>
      <c r="H53" s="341"/>
      <c r="I53" s="8"/>
      <c r="J53" s="311"/>
      <c r="K53" s="3"/>
      <c r="L53" s="3"/>
      <c r="M53" s="3"/>
      <c r="N53" s="3"/>
      <c r="O53" s="3"/>
      <c r="P53" s="3"/>
    </row>
    <row r="54" spans="1:16" ht="14.25" hidden="1" customHeight="1" thickBot="1">
      <c r="A54" s="11"/>
      <c r="B54" s="420"/>
      <c r="C54" s="421"/>
      <c r="D54" s="422"/>
      <c r="E54" s="423">
        <f>SUM(E46:E53)</f>
        <v>0</v>
      </c>
      <c r="F54" s="423"/>
      <c r="G54" s="422"/>
      <c r="H54" s="508">
        <f>SUM(H46:H53)</f>
        <v>0</v>
      </c>
      <c r="I54" s="181">
        <f>+H54-E54</f>
        <v>0</v>
      </c>
      <c r="J54" s="311"/>
    </row>
    <row r="55" spans="1:16" ht="14.25" hidden="1" customHeight="1" thickBot="1">
      <c r="A55" s="11"/>
      <c r="B55" s="36"/>
      <c r="C55" s="22"/>
      <c r="D55" s="22"/>
      <c r="E55" s="8"/>
      <c r="F55" s="8"/>
      <c r="G55" s="36"/>
      <c r="H55" s="8"/>
      <c r="I55" s="8"/>
      <c r="J55" s="311"/>
    </row>
    <row r="56" spans="1:16" ht="14.25" hidden="1" customHeight="1" thickBot="1">
      <c r="A56" s="11"/>
      <c r="B56" s="617" t="s">
        <v>326</v>
      </c>
      <c r="C56" s="618"/>
      <c r="D56" s="618"/>
      <c r="E56" s="619"/>
      <c r="F56" s="235"/>
      <c r="G56" s="213"/>
      <c r="H56" s="75"/>
      <c r="I56" s="75"/>
      <c r="J56" s="311"/>
    </row>
    <row r="57" spans="1:16" ht="14.25" hidden="1" customHeight="1" thickBot="1">
      <c r="A57" s="11"/>
      <c r="B57" s="76" t="s">
        <v>314</v>
      </c>
      <c r="C57" s="76" t="s">
        <v>315</v>
      </c>
      <c r="D57" s="76" t="s">
        <v>316</v>
      </c>
      <c r="E57" s="50" t="s">
        <v>317</v>
      </c>
      <c r="F57" s="235"/>
      <c r="G57" s="213"/>
      <c r="H57" s="75"/>
      <c r="I57" s="75"/>
      <c r="J57" s="311"/>
    </row>
    <row r="58" spans="1:16" ht="14.25" hidden="1" customHeight="1">
      <c r="A58" s="11"/>
      <c r="B58" s="56"/>
      <c r="C58" s="55"/>
      <c r="D58" s="55"/>
      <c r="E58" s="227"/>
      <c r="F58" s="235"/>
      <c r="G58" s="213"/>
      <c r="H58" s="75"/>
      <c r="I58" s="75"/>
      <c r="J58" s="311"/>
    </row>
    <row r="59" spans="1:16" ht="14.25" hidden="1" customHeight="1">
      <c r="A59" s="11"/>
      <c r="B59" s="87"/>
      <c r="C59" s="77"/>
      <c r="D59" s="77"/>
      <c r="E59" s="236"/>
      <c r="F59" s="235"/>
      <c r="G59" s="213"/>
      <c r="H59" s="75"/>
      <c r="I59" s="75"/>
      <c r="J59" s="311"/>
    </row>
    <row r="60" spans="1:16" ht="14.25" hidden="1" customHeight="1" thickBot="1">
      <c r="A60" s="11"/>
      <c r="B60" s="83"/>
      <c r="C60" s="84"/>
      <c r="D60" s="85"/>
      <c r="E60" s="86"/>
      <c r="F60" s="232">
        <v>5180</v>
      </c>
      <c r="G60" s="355"/>
      <c r="H60" s="75"/>
      <c r="I60" s="75"/>
      <c r="J60" s="311"/>
    </row>
    <row r="61" spans="1:16" ht="14.25" hidden="1" customHeight="1" thickBot="1">
      <c r="A61" s="11"/>
      <c r="B61" s="620" t="s">
        <v>318</v>
      </c>
      <c r="C61" s="621"/>
      <c r="D61" s="622"/>
      <c r="E61" s="59">
        <f>SUM(E58:E60)</f>
        <v>0</v>
      </c>
      <c r="F61" s="231">
        <f>+F60-E61</f>
        <v>5180</v>
      </c>
      <c r="G61" s="355"/>
      <c r="H61" s="2"/>
      <c r="I61" s="2"/>
      <c r="J61" s="311"/>
    </row>
    <row r="62" spans="1:16" ht="14.25" hidden="1" customHeight="1" thickBot="1">
      <c r="A62" s="11"/>
      <c r="B62" s="460"/>
      <c r="C62" s="461"/>
      <c r="D62" s="461"/>
      <c r="E62" s="462"/>
      <c r="F62" s="231"/>
      <c r="G62" s="355"/>
      <c r="H62" s="2"/>
      <c r="I62" s="2"/>
      <c r="J62" s="311"/>
    </row>
    <row r="63" spans="1:16" ht="14.25" hidden="1" customHeight="1" thickBot="1">
      <c r="A63" s="11"/>
      <c r="B63" s="595" t="s">
        <v>327</v>
      </c>
      <c r="C63" s="596"/>
      <c r="D63" s="596"/>
      <c r="E63" s="596"/>
      <c r="F63" s="596"/>
      <c r="G63" s="596"/>
      <c r="H63" s="597"/>
      <c r="I63" s="12"/>
      <c r="J63" s="311"/>
    </row>
    <row r="64" spans="1:16" ht="14.25" hidden="1" customHeight="1" thickBot="1">
      <c r="A64" s="11"/>
      <c r="B64" s="80" t="s">
        <v>314</v>
      </c>
      <c r="C64" s="76" t="s">
        <v>315</v>
      </c>
      <c r="D64" s="81" t="s">
        <v>316</v>
      </c>
      <c r="E64" s="50" t="s">
        <v>317</v>
      </c>
      <c r="F64" s="237" t="s">
        <v>319</v>
      </c>
      <c r="G64" s="46" t="s">
        <v>320</v>
      </c>
      <c r="H64" s="165" t="s">
        <v>321</v>
      </c>
      <c r="I64" s="164"/>
      <c r="J64" s="311"/>
    </row>
    <row r="65" spans="1:16" s="9" customFormat="1" ht="14.25" hidden="1" customHeight="1">
      <c r="A65" s="40"/>
      <c r="B65" s="325"/>
      <c r="C65" s="604"/>
      <c r="D65" s="605"/>
      <c r="E65" s="118"/>
      <c r="F65" s="390"/>
      <c r="G65" s="391"/>
      <c r="H65" s="392"/>
      <c r="I65" s="136"/>
      <c r="J65" s="311"/>
      <c r="K65" s="366"/>
      <c r="L65" s="366"/>
      <c r="M65" s="366"/>
      <c r="N65" s="366"/>
      <c r="O65" s="366"/>
      <c r="P65" s="366"/>
    </row>
    <row r="66" spans="1:16" s="9" customFormat="1" ht="14.25" hidden="1" customHeight="1">
      <c r="A66" s="40"/>
      <c r="B66" s="408"/>
      <c r="C66" s="466"/>
      <c r="D66" s="453"/>
      <c r="E66" s="468"/>
      <c r="F66" s="465"/>
      <c r="G66" s="472"/>
      <c r="H66" s="470"/>
      <c r="I66" s="136"/>
      <c r="J66" s="311"/>
      <c r="K66" s="366"/>
      <c r="L66" s="366"/>
      <c r="M66" s="366"/>
      <c r="N66" s="366"/>
      <c r="O66" s="366"/>
      <c r="P66" s="366"/>
    </row>
    <row r="67" spans="1:16" s="9" customFormat="1" ht="14.25" hidden="1" customHeight="1">
      <c r="A67" s="40"/>
      <c r="B67" s="408"/>
      <c r="C67" s="466"/>
      <c r="D67" s="453"/>
      <c r="E67" s="468"/>
      <c r="F67" s="465"/>
      <c r="G67" s="472"/>
      <c r="H67" s="470"/>
      <c r="I67" s="136"/>
      <c r="J67" s="311"/>
      <c r="K67" s="366"/>
      <c r="L67" s="366"/>
      <c r="M67" s="366"/>
      <c r="N67" s="366"/>
      <c r="O67" s="366"/>
      <c r="P67" s="366"/>
    </row>
    <row r="68" spans="1:16" s="9" customFormat="1" ht="14.25" hidden="1" customHeight="1">
      <c r="A68" s="40"/>
      <c r="B68" s="408"/>
      <c r="C68" s="466"/>
      <c r="D68" s="453"/>
      <c r="E68" s="468"/>
      <c r="F68" s="465"/>
      <c r="G68" s="472"/>
      <c r="H68" s="470"/>
      <c r="I68" s="136"/>
      <c r="J68" s="311"/>
      <c r="K68" s="366"/>
      <c r="L68" s="366"/>
      <c r="M68" s="366"/>
      <c r="N68" s="366"/>
      <c r="O68" s="366"/>
      <c r="P68" s="366"/>
    </row>
    <row r="69" spans="1:16" s="9" customFormat="1" ht="14.25" hidden="1" customHeight="1">
      <c r="A69" s="40"/>
      <c r="B69" s="408"/>
      <c r="C69" s="466"/>
      <c r="D69" s="453"/>
      <c r="E69" s="468"/>
      <c r="F69" s="465"/>
      <c r="G69" s="472"/>
      <c r="H69" s="470"/>
      <c r="I69" s="136"/>
      <c r="J69" s="311"/>
      <c r="K69" s="366"/>
      <c r="L69" s="366"/>
      <c r="M69" s="366"/>
      <c r="N69" s="366"/>
      <c r="O69" s="366"/>
      <c r="P69" s="366"/>
    </row>
    <row r="70" spans="1:16" s="9" customFormat="1" ht="14.25" hidden="1" customHeight="1" thickBot="1">
      <c r="A70" s="40"/>
      <c r="B70" s="21"/>
      <c r="C70" s="473"/>
      <c r="D70" s="473"/>
      <c r="E70" s="414"/>
      <c r="F70" s="65"/>
      <c r="G70" s="474"/>
      <c r="H70" s="475"/>
      <c r="I70" s="136"/>
      <c r="J70" s="311"/>
      <c r="K70" s="366"/>
      <c r="L70" s="366"/>
      <c r="M70" s="366"/>
      <c r="N70" s="366"/>
      <c r="O70" s="366"/>
      <c r="P70" s="366"/>
    </row>
    <row r="71" spans="1:16" ht="14.25" hidden="1" customHeight="1" thickBot="1">
      <c r="A71" s="11"/>
      <c r="B71" s="601" t="s">
        <v>318</v>
      </c>
      <c r="C71" s="602"/>
      <c r="D71" s="603"/>
      <c r="E71" s="49">
        <f>SUM(E65:E70)</f>
        <v>0</v>
      </c>
      <c r="F71" s="49"/>
      <c r="G71" s="354"/>
      <c r="H71" s="49">
        <f>SUM(H65:H70)</f>
        <v>0</v>
      </c>
      <c r="I71" s="8">
        <f>+H71-E71</f>
        <v>0</v>
      </c>
      <c r="J71" s="194"/>
    </row>
    <row r="72" spans="1:16" ht="14.25" hidden="1" customHeight="1" thickBot="1">
      <c r="A72" s="11"/>
      <c r="B72" s="36"/>
      <c r="C72" s="22"/>
      <c r="D72" s="22"/>
      <c r="E72" s="8"/>
      <c r="F72" s="8"/>
      <c r="G72" s="36"/>
      <c r="H72" s="8"/>
      <c r="I72" s="8"/>
      <c r="J72" s="194"/>
    </row>
    <row r="73" spans="1:16" ht="14.25" customHeight="1" thickBot="1">
      <c r="A73" s="11"/>
      <c r="B73" s="595" t="s">
        <v>328</v>
      </c>
      <c r="C73" s="596"/>
      <c r="D73" s="596"/>
      <c r="E73" s="596"/>
      <c r="F73" s="596"/>
      <c r="G73" s="596"/>
      <c r="H73" s="597"/>
      <c r="I73" s="12"/>
      <c r="J73" s="194"/>
    </row>
    <row r="74" spans="1:16" ht="14.25" customHeight="1" thickBot="1">
      <c r="A74" s="11"/>
      <c r="B74" s="76" t="s">
        <v>314</v>
      </c>
      <c r="C74" s="76" t="s">
        <v>315</v>
      </c>
      <c r="D74" s="76" t="s">
        <v>316</v>
      </c>
      <c r="E74" s="50" t="s">
        <v>317</v>
      </c>
      <c r="F74" s="504" t="s">
        <v>319</v>
      </c>
      <c r="G74" s="505" t="s">
        <v>320</v>
      </c>
      <c r="H74" s="506" t="s">
        <v>321</v>
      </c>
      <c r="I74" s="164"/>
      <c r="J74" s="194"/>
    </row>
    <row r="75" spans="1:16" ht="14.25" customHeight="1">
      <c r="A75" s="11"/>
      <c r="B75" s="579">
        <v>46175</v>
      </c>
      <c r="C75" s="580" t="s">
        <v>482</v>
      </c>
      <c r="D75" s="581" t="s">
        <v>483</v>
      </c>
      <c r="E75" s="582">
        <v>120000</v>
      </c>
      <c r="F75" s="500" t="s">
        <v>471</v>
      </c>
      <c r="G75" s="500" t="s">
        <v>472</v>
      </c>
      <c r="H75" s="501">
        <v>26643.7</v>
      </c>
      <c r="I75" s="37"/>
      <c r="J75" s="194"/>
    </row>
    <row r="76" spans="1:16" ht="14.25" customHeight="1">
      <c r="A76" s="11"/>
      <c r="B76" s="579">
        <v>46175</v>
      </c>
      <c r="C76" s="580" t="s">
        <v>482</v>
      </c>
      <c r="D76" s="581" t="s">
        <v>484</v>
      </c>
      <c r="E76" s="582">
        <v>25495.38</v>
      </c>
      <c r="F76" s="469" t="s">
        <v>473</v>
      </c>
      <c r="G76" s="500" t="s">
        <v>472</v>
      </c>
      <c r="H76" s="217">
        <v>33925.25</v>
      </c>
      <c r="I76" s="37"/>
      <c r="J76" s="194"/>
    </row>
    <row r="77" spans="1:16" ht="14.25" customHeight="1">
      <c r="A77" s="11"/>
      <c r="B77" s="579"/>
      <c r="C77" s="580"/>
      <c r="D77" s="581"/>
      <c r="E77" s="582"/>
      <c r="F77" s="469" t="s">
        <v>474</v>
      </c>
      <c r="G77" s="500" t="s">
        <v>472</v>
      </c>
      <c r="H77" s="217">
        <v>28930.14</v>
      </c>
      <c r="I77" s="37"/>
      <c r="J77" s="194"/>
    </row>
    <row r="78" spans="1:16" ht="14.25" customHeight="1">
      <c r="A78" s="11"/>
      <c r="B78" s="579"/>
      <c r="C78" s="580"/>
      <c r="D78" s="581"/>
      <c r="E78" s="582"/>
      <c r="F78" s="469" t="s">
        <v>475</v>
      </c>
      <c r="G78" s="500" t="s">
        <v>472</v>
      </c>
      <c r="H78" s="217">
        <v>13019.18</v>
      </c>
      <c r="I78" s="37"/>
      <c r="J78" s="194"/>
    </row>
    <row r="79" spans="1:16" ht="14.25" customHeight="1">
      <c r="A79" s="11"/>
      <c r="B79" s="579"/>
      <c r="C79" s="580"/>
      <c r="D79" s="581"/>
      <c r="E79" s="582"/>
      <c r="F79" s="469" t="s">
        <v>476</v>
      </c>
      <c r="G79" s="500" t="s">
        <v>472</v>
      </c>
      <c r="H79" s="217">
        <v>10335.74</v>
      </c>
      <c r="I79" s="37"/>
      <c r="J79" s="194"/>
    </row>
    <row r="80" spans="1:16" ht="14.25" customHeight="1">
      <c r="A80" s="11"/>
      <c r="B80" s="579"/>
      <c r="C80" s="580"/>
      <c r="D80" s="581"/>
      <c r="E80" s="582"/>
      <c r="F80" s="469" t="s">
        <v>477</v>
      </c>
      <c r="G80" s="469" t="s">
        <v>481</v>
      </c>
      <c r="H80" s="217">
        <v>10335.74</v>
      </c>
      <c r="I80" s="37"/>
      <c r="J80" s="194"/>
    </row>
    <row r="81" spans="1:14" ht="14.25" customHeight="1">
      <c r="A81" s="11"/>
      <c r="B81" s="579"/>
      <c r="C81" s="580"/>
      <c r="D81" s="581"/>
      <c r="E81" s="582"/>
      <c r="F81" s="497" t="s">
        <v>478</v>
      </c>
      <c r="G81" s="469" t="s">
        <v>481</v>
      </c>
      <c r="H81" s="499">
        <v>10335.74</v>
      </c>
      <c r="I81" s="37"/>
      <c r="J81" s="194"/>
    </row>
    <row r="82" spans="1:14" ht="14.25" customHeight="1">
      <c r="A82" s="11"/>
      <c r="B82" s="579"/>
      <c r="C82" s="580"/>
      <c r="D82" s="581"/>
      <c r="E82" s="582"/>
      <c r="F82" s="497" t="s">
        <v>479</v>
      </c>
      <c r="G82" s="469" t="s">
        <v>481</v>
      </c>
      <c r="H82" s="499">
        <v>10335.74</v>
      </c>
      <c r="I82" s="37"/>
      <c r="J82" s="194"/>
    </row>
    <row r="83" spans="1:14" ht="14.25" customHeight="1">
      <c r="A83" s="11"/>
      <c r="B83" s="493"/>
      <c r="C83" s="494"/>
      <c r="D83" s="495"/>
      <c r="E83" s="496"/>
      <c r="F83" s="497" t="s">
        <v>480</v>
      </c>
      <c r="G83" s="500" t="s">
        <v>472</v>
      </c>
      <c r="H83" s="499">
        <v>1634.15</v>
      </c>
      <c r="I83" s="37"/>
      <c r="J83" s="194"/>
    </row>
    <row r="84" spans="1:14" ht="14.25" customHeight="1">
      <c r="A84" s="11"/>
      <c r="B84" s="493"/>
      <c r="C84" s="494"/>
      <c r="D84" s="495"/>
      <c r="E84" s="496"/>
      <c r="F84" s="497"/>
      <c r="G84" s="498"/>
      <c r="H84" s="499"/>
      <c r="I84" s="37"/>
      <c r="J84" s="194"/>
    </row>
    <row r="85" spans="1:14" ht="14.25" customHeight="1" thickBot="1">
      <c r="A85" s="11"/>
      <c r="B85" s="440"/>
      <c r="C85" s="89"/>
      <c r="D85" s="218"/>
      <c r="E85" s="89"/>
      <c r="F85" s="65"/>
      <c r="G85" s="106"/>
      <c r="H85" s="90"/>
      <c r="I85" s="137"/>
      <c r="J85" s="3"/>
      <c r="K85" s="3"/>
      <c r="M85" s="3"/>
      <c r="N85" s="3"/>
    </row>
    <row r="86" spans="1:14" ht="14.25" customHeight="1" thickBot="1">
      <c r="A86" s="11"/>
      <c r="B86" s="601" t="s">
        <v>318</v>
      </c>
      <c r="C86" s="602"/>
      <c r="D86" s="603"/>
      <c r="E86" s="49">
        <f>SUM(E75:E85)</f>
        <v>145495.38</v>
      </c>
      <c r="F86" s="91"/>
      <c r="G86" s="354"/>
      <c r="H86" s="59">
        <f>+SUM(H75:H85)</f>
        <v>145495.37999999998</v>
      </c>
      <c r="I86" s="8">
        <f>+H86-E86</f>
        <v>0</v>
      </c>
      <c r="J86" s="3"/>
      <c r="K86" s="3"/>
      <c r="M86" s="3"/>
      <c r="N86" s="3"/>
    </row>
    <row r="87" spans="1:14" ht="14.25" customHeight="1">
      <c r="A87" s="11"/>
      <c r="B87" s="36"/>
      <c r="C87" s="22"/>
      <c r="D87" s="22"/>
      <c r="E87" s="8"/>
      <c r="F87" s="8"/>
      <c r="G87" s="36"/>
      <c r="H87" s="8"/>
      <c r="I87" s="8"/>
      <c r="J87" s="3"/>
      <c r="K87" s="3"/>
      <c r="M87" s="3"/>
      <c r="N87" s="3"/>
    </row>
    <row r="88" spans="1:14" ht="14.25" hidden="1" customHeight="1" thickBot="1">
      <c r="A88" s="11"/>
      <c r="B88" s="595" t="s">
        <v>437</v>
      </c>
      <c r="C88" s="596"/>
      <c r="D88" s="596"/>
      <c r="E88" s="596"/>
      <c r="F88" s="596"/>
      <c r="G88" s="596"/>
      <c r="H88" s="597"/>
      <c r="I88" s="38"/>
      <c r="J88" s="366"/>
      <c r="K88" s="3"/>
      <c r="M88" s="3"/>
      <c r="N88" s="3"/>
    </row>
    <row r="89" spans="1:14" ht="14.25" hidden="1" customHeight="1" thickBot="1">
      <c r="A89" s="11"/>
      <c r="B89" s="80" t="s">
        <v>314</v>
      </c>
      <c r="C89" s="76" t="s">
        <v>315</v>
      </c>
      <c r="D89" s="81" t="s">
        <v>316</v>
      </c>
      <c r="E89" s="50" t="s">
        <v>317</v>
      </c>
      <c r="F89" s="237" t="s">
        <v>319</v>
      </c>
      <c r="G89" s="46" t="s">
        <v>320</v>
      </c>
      <c r="H89" s="79" t="s">
        <v>321</v>
      </c>
      <c r="I89" s="135"/>
      <c r="J89" s="366"/>
      <c r="K89" s="3"/>
      <c r="M89" s="3"/>
      <c r="N89" s="3"/>
    </row>
    <row r="90" spans="1:14" ht="14.25" hidden="1" customHeight="1" thickBot="1">
      <c r="A90" s="11"/>
      <c r="B90" s="325"/>
      <c r="C90" s="134"/>
      <c r="D90" s="459"/>
      <c r="E90" s="118"/>
      <c r="F90" s="324"/>
      <c r="G90" s="107"/>
      <c r="H90" s="88"/>
      <c r="I90" s="136"/>
      <c r="J90" s="271">
        <v>774368.12</v>
      </c>
      <c r="K90" s="3"/>
      <c r="M90" s="3"/>
      <c r="N90" s="3"/>
    </row>
    <row r="91" spans="1:14" ht="14.25" hidden="1" customHeight="1">
      <c r="A91" s="11"/>
      <c r="B91" s="408"/>
      <c r="C91" s="466"/>
      <c r="D91" s="467"/>
      <c r="E91" s="468"/>
      <c r="F91" s="469"/>
      <c r="G91" s="107"/>
      <c r="H91" s="217"/>
      <c r="I91" s="136"/>
      <c r="J91" s="271">
        <v>92924</v>
      </c>
      <c r="K91" s="3">
        <f>+J90*0.12</f>
        <v>92924.174399999989</v>
      </c>
      <c r="M91" s="3"/>
      <c r="N91" s="3"/>
    </row>
    <row r="92" spans="1:14" ht="14.25" hidden="1" customHeight="1">
      <c r="A92" s="11"/>
      <c r="B92" s="408"/>
      <c r="C92" s="466"/>
      <c r="D92" s="467"/>
      <c r="E92" s="468"/>
      <c r="F92" s="469"/>
      <c r="G92" s="82"/>
      <c r="H92" s="217"/>
      <c r="I92" s="136"/>
      <c r="J92" s="271">
        <f>+J90-J91</f>
        <v>681444.12</v>
      </c>
      <c r="K92" s="3"/>
      <c r="M92" s="3"/>
      <c r="N92" s="3"/>
    </row>
    <row r="93" spans="1:14" ht="14.25" hidden="1" customHeight="1">
      <c r="A93" s="11"/>
      <c r="B93" s="408"/>
      <c r="C93" s="466"/>
      <c r="D93" s="467"/>
      <c r="E93" s="468"/>
      <c r="F93" s="469"/>
      <c r="G93" s="82"/>
      <c r="H93" s="217"/>
      <c r="I93" s="136"/>
      <c r="J93" s="271"/>
      <c r="K93" s="3"/>
      <c r="M93" s="3"/>
      <c r="N93" s="3"/>
    </row>
    <row r="94" spans="1:14" ht="14.25" hidden="1" customHeight="1">
      <c r="A94" s="11"/>
      <c r="B94" s="408"/>
      <c r="C94" s="466"/>
      <c r="D94" s="467"/>
      <c r="E94" s="468"/>
      <c r="F94" s="469"/>
      <c r="G94" s="82"/>
      <c r="H94" s="217"/>
      <c r="I94" s="136"/>
      <c r="J94" s="271"/>
      <c r="K94" s="3"/>
      <c r="M94" s="3"/>
      <c r="N94" s="3"/>
    </row>
    <row r="95" spans="1:14" ht="14.25" hidden="1" customHeight="1">
      <c r="A95" s="11"/>
      <c r="B95" s="408"/>
      <c r="C95" s="466"/>
      <c r="D95" s="467"/>
      <c r="E95" s="468"/>
      <c r="F95" s="469"/>
      <c r="G95" s="82"/>
      <c r="H95" s="217"/>
      <c r="I95" s="136"/>
      <c r="J95" s="271"/>
      <c r="K95" s="3"/>
      <c r="M95" s="3"/>
      <c r="N95" s="3"/>
    </row>
    <row r="96" spans="1:14" ht="14.25" hidden="1" customHeight="1" thickBot="1">
      <c r="A96" s="11"/>
      <c r="B96" s="21"/>
      <c r="C96" s="65"/>
      <c r="D96" s="167"/>
      <c r="E96" s="44"/>
      <c r="F96" s="234"/>
      <c r="G96" s="78"/>
      <c r="H96" s="125"/>
      <c r="I96" s="138"/>
      <c r="J96" s="3"/>
      <c r="K96" s="3"/>
      <c r="M96" s="3"/>
      <c r="N96" s="3"/>
    </row>
    <row r="97" spans="1:16" ht="14.25" hidden="1" customHeight="1" thickBot="1">
      <c r="A97" s="11"/>
      <c r="B97" s="601" t="s">
        <v>318</v>
      </c>
      <c r="C97" s="602"/>
      <c r="D97" s="603"/>
      <c r="E97" s="49">
        <f>SUM(E90:E96)</f>
        <v>0</v>
      </c>
      <c r="F97" s="49"/>
      <c r="G97" s="354"/>
      <c r="H97" s="49">
        <f>SUM(H90:H96)</f>
        <v>0</v>
      </c>
      <c r="I97" s="394">
        <f>+H97-E97</f>
        <v>0</v>
      </c>
      <c r="J97" s="3"/>
      <c r="K97" s="3"/>
      <c r="M97" s="3"/>
      <c r="N97" s="3"/>
    </row>
    <row r="98" spans="1:16" ht="14.25" customHeight="1" thickBot="1">
      <c r="A98" s="11"/>
      <c r="B98" s="22"/>
      <c r="C98" s="22"/>
      <c r="D98" s="22"/>
      <c r="E98" s="8"/>
      <c r="F98" s="8"/>
      <c r="G98" s="36"/>
      <c r="H98" s="8"/>
      <c r="I98" s="394"/>
      <c r="J98" s="3"/>
      <c r="K98" s="3"/>
      <c r="M98" s="3"/>
      <c r="N98" s="3"/>
    </row>
    <row r="99" spans="1:16" ht="14.25" customHeight="1" thickBot="1">
      <c r="A99" s="11"/>
      <c r="B99" s="629" t="s">
        <v>329</v>
      </c>
      <c r="C99" s="630"/>
      <c r="D99" s="630"/>
      <c r="E99" s="630"/>
      <c r="F99" s="630"/>
      <c r="G99" s="630"/>
      <c r="H99" s="630"/>
      <c r="I99" s="608"/>
      <c r="J99" s="271"/>
      <c r="K99" s="271"/>
    </row>
    <row r="100" spans="1:16" s="155" customFormat="1" ht="27.75" customHeight="1" thickBot="1">
      <c r="B100" s="515" t="s">
        <v>314</v>
      </c>
      <c r="C100" s="516" t="s">
        <v>315</v>
      </c>
      <c r="D100" s="517" t="s">
        <v>316</v>
      </c>
      <c r="E100" s="518" t="s">
        <v>330</v>
      </c>
      <c r="F100" s="519" t="s">
        <v>331</v>
      </c>
      <c r="G100" s="520" t="s">
        <v>332</v>
      </c>
      <c r="H100" s="521" t="s">
        <v>320</v>
      </c>
      <c r="I100" s="559" t="s">
        <v>1</v>
      </c>
      <c r="J100" s="327"/>
      <c r="K100" s="271"/>
      <c r="L100" s="439"/>
      <c r="M100" s="367"/>
      <c r="N100" s="367"/>
    </row>
    <row r="101" spans="1:16" ht="15.75" customHeight="1">
      <c r="B101" s="665">
        <v>46175</v>
      </c>
      <c r="C101" s="662" t="s">
        <v>486</v>
      </c>
      <c r="D101" s="637" t="s">
        <v>485</v>
      </c>
      <c r="E101" s="634">
        <v>6119.92</v>
      </c>
      <c r="F101" s="560">
        <v>1416.52</v>
      </c>
      <c r="G101" s="561" t="s">
        <v>456</v>
      </c>
      <c r="H101" s="561">
        <v>46174</v>
      </c>
      <c r="I101" s="649" t="s">
        <v>455</v>
      </c>
      <c r="J101" s="558">
        <f>1609.52</f>
        <v>1609.52</v>
      </c>
      <c r="K101" s="490" t="s">
        <v>463</v>
      </c>
      <c r="L101" s="3"/>
      <c r="M101" s="3"/>
      <c r="N101" s="393"/>
      <c r="O101" s="3"/>
      <c r="P101" s="3"/>
    </row>
    <row r="102" spans="1:16" ht="15.75" customHeight="1">
      <c r="B102" s="666"/>
      <c r="C102" s="663"/>
      <c r="D102" s="638"/>
      <c r="E102" s="635"/>
      <c r="F102" s="562">
        <v>1104.52</v>
      </c>
      <c r="G102" s="563" t="s">
        <v>457</v>
      </c>
      <c r="H102" s="564">
        <v>46174</v>
      </c>
      <c r="I102" s="650"/>
      <c r="J102" s="394">
        <f>1255.52</f>
        <v>1255.52</v>
      </c>
      <c r="K102" s="490"/>
      <c r="L102"/>
      <c r="M102"/>
      <c r="N102"/>
      <c r="O102"/>
      <c r="P102"/>
    </row>
    <row r="103" spans="1:16" ht="15.75" customHeight="1">
      <c r="B103" s="666"/>
      <c r="C103" s="663"/>
      <c r="D103" s="638"/>
      <c r="E103" s="635"/>
      <c r="F103" s="562">
        <v>1104.52</v>
      </c>
      <c r="G103" s="563" t="s">
        <v>458</v>
      </c>
      <c r="H103" s="561">
        <v>46174</v>
      </c>
      <c r="I103" s="650"/>
      <c r="J103" s="394">
        <v>1255.52</v>
      </c>
      <c r="K103" s="490"/>
      <c r="L103"/>
      <c r="M103"/>
      <c r="N103"/>
      <c r="O103"/>
      <c r="P103"/>
    </row>
    <row r="104" spans="1:16" ht="15.75" customHeight="1">
      <c r="B104" s="666"/>
      <c r="C104" s="663"/>
      <c r="D104" s="638"/>
      <c r="E104" s="635"/>
      <c r="F104" s="562">
        <v>1247.18</v>
      </c>
      <c r="G104" s="563" t="s">
        <v>459</v>
      </c>
      <c r="H104" s="564">
        <v>46174</v>
      </c>
      <c r="I104" s="650"/>
      <c r="J104" s="394">
        <v>1417.18</v>
      </c>
      <c r="K104" s="490"/>
      <c r="L104"/>
      <c r="M104"/>
      <c r="N104"/>
      <c r="O104"/>
      <c r="P104"/>
    </row>
    <row r="105" spans="1:16" ht="15.75" customHeight="1">
      <c r="B105" s="667"/>
      <c r="C105" s="664"/>
      <c r="D105" s="639"/>
      <c r="E105" s="636"/>
      <c r="F105" s="562">
        <v>1247.18</v>
      </c>
      <c r="G105" s="563" t="s">
        <v>460</v>
      </c>
      <c r="H105" s="561">
        <v>46174</v>
      </c>
      <c r="I105" s="651"/>
      <c r="J105" s="394">
        <v>1417.18</v>
      </c>
      <c r="K105" s="490"/>
      <c r="L105"/>
      <c r="M105"/>
      <c r="N105"/>
      <c r="O105"/>
      <c r="P105"/>
    </row>
    <row r="106" spans="1:16" ht="15.75" customHeight="1">
      <c r="B106" s="565">
        <v>46175</v>
      </c>
      <c r="C106" s="566" t="s">
        <v>486</v>
      </c>
      <c r="D106" s="567">
        <v>89454169</v>
      </c>
      <c r="E106" s="568">
        <v>8251.1299999999992</v>
      </c>
      <c r="F106" s="569">
        <v>8251.1299999999992</v>
      </c>
      <c r="G106" s="570" t="s">
        <v>462</v>
      </c>
      <c r="H106" s="571">
        <v>46174</v>
      </c>
      <c r="I106" s="572" t="s">
        <v>461</v>
      </c>
      <c r="J106" s="10">
        <v>9376.1299999999992</v>
      </c>
      <c r="K106"/>
      <c r="L106"/>
      <c r="M106"/>
      <c r="N106"/>
      <c r="O106"/>
      <c r="P106"/>
    </row>
    <row r="107" spans="1:16" ht="15.75" customHeight="1">
      <c r="B107" s="674">
        <v>46175</v>
      </c>
      <c r="C107" s="671" t="s">
        <v>486</v>
      </c>
      <c r="D107" s="668">
        <v>89454668</v>
      </c>
      <c r="E107" s="631">
        <v>2150</v>
      </c>
      <c r="F107" s="583">
        <v>600</v>
      </c>
      <c r="G107" s="584" t="s">
        <v>464</v>
      </c>
      <c r="H107" s="585">
        <v>46175</v>
      </c>
      <c r="I107" s="652" t="s">
        <v>470</v>
      </c>
      <c r="J107" s="10"/>
      <c r="K107"/>
      <c r="L107"/>
      <c r="M107"/>
      <c r="N107"/>
      <c r="O107"/>
      <c r="P107"/>
    </row>
    <row r="108" spans="1:16" ht="15.75" customHeight="1">
      <c r="B108" s="675"/>
      <c r="C108" s="672"/>
      <c r="D108" s="669"/>
      <c r="E108" s="632"/>
      <c r="F108" s="583">
        <v>744</v>
      </c>
      <c r="G108" s="584" t="s">
        <v>465</v>
      </c>
      <c r="H108" s="585">
        <v>46175</v>
      </c>
      <c r="I108" s="653"/>
      <c r="J108" s="10"/>
      <c r="K108"/>
      <c r="L108"/>
      <c r="M108"/>
      <c r="N108"/>
      <c r="O108"/>
      <c r="P108"/>
    </row>
    <row r="109" spans="1:16" ht="15.75" customHeight="1">
      <c r="B109" s="675"/>
      <c r="C109" s="672"/>
      <c r="D109" s="669"/>
      <c r="E109" s="632"/>
      <c r="F109" s="583">
        <v>469</v>
      </c>
      <c r="G109" s="586" t="s">
        <v>466</v>
      </c>
      <c r="H109" s="584">
        <v>46175</v>
      </c>
      <c r="I109" s="653"/>
      <c r="J109"/>
      <c r="K109"/>
      <c r="L109"/>
      <c r="M109"/>
      <c r="N109"/>
      <c r="O109"/>
      <c r="P109"/>
    </row>
    <row r="110" spans="1:16" ht="15.75" customHeight="1">
      <c r="B110" s="676"/>
      <c r="C110" s="673"/>
      <c r="D110" s="670"/>
      <c r="E110" s="633"/>
      <c r="F110" s="583">
        <v>337</v>
      </c>
      <c r="G110" s="586" t="s">
        <v>467</v>
      </c>
      <c r="H110" s="584">
        <v>46175</v>
      </c>
      <c r="I110" s="654"/>
      <c r="J110"/>
      <c r="K110"/>
      <c r="L110"/>
      <c r="M110"/>
      <c r="N110"/>
      <c r="O110"/>
      <c r="P110"/>
    </row>
    <row r="111" spans="1:16" ht="15.75" customHeight="1">
      <c r="B111" s="587">
        <v>46176</v>
      </c>
      <c r="C111" s="679" t="s">
        <v>482</v>
      </c>
      <c r="D111" s="677" t="s">
        <v>487</v>
      </c>
      <c r="E111" s="613">
        <v>850</v>
      </c>
      <c r="F111" s="574">
        <v>340</v>
      </c>
      <c r="G111" s="575" t="s">
        <v>468</v>
      </c>
      <c r="H111" s="576">
        <v>46173</v>
      </c>
      <c r="I111" s="655" t="s">
        <v>428</v>
      </c>
      <c r="J111"/>
      <c r="K111"/>
      <c r="L111"/>
      <c r="M111"/>
      <c r="N111"/>
      <c r="O111"/>
      <c r="P111"/>
    </row>
    <row r="112" spans="1:16" ht="15.75" customHeight="1" thickBot="1">
      <c r="B112" s="588"/>
      <c r="C112" s="680"/>
      <c r="D112" s="678"/>
      <c r="E112" s="614"/>
      <c r="F112" s="577">
        <v>510</v>
      </c>
      <c r="G112" s="578" t="s">
        <v>469</v>
      </c>
      <c r="H112" s="578">
        <v>46173</v>
      </c>
      <c r="I112" s="656"/>
      <c r="J112"/>
      <c r="K112"/>
      <c r="L112"/>
      <c r="M112"/>
      <c r="N112"/>
      <c r="O112"/>
      <c r="P112"/>
    </row>
    <row r="113" spans="2:16" ht="15.75" customHeight="1" thickBot="1">
      <c r="B113" s="623"/>
      <c r="C113" s="624"/>
      <c r="D113" s="625"/>
      <c r="E113" s="383">
        <f>SUM(E101:E112)</f>
        <v>17371.05</v>
      </c>
      <c r="F113" s="383">
        <f>SUM(F101:F112)</f>
        <v>17371.05</v>
      </c>
      <c r="G113" s="384"/>
      <c r="H113" s="96"/>
      <c r="I113" s="385"/>
      <c r="J113" s="327"/>
      <c r="K113" s="457"/>
      <c r="L113" s="3"/>
      <c r="M113" s="3"/>
      <c r="N113" s="393"/>
      <c r="O113" s="3"/>
      <c r="P113" s="3"/>
    </row>
    <row r="114" spans="2:16" ht="15.75" customHeight="1" thickBot="1">
      <c r="B114" s="441"/>
      <c r="C114" s="13"/>
      <c r="D114" s="13"/>
      <c r="E114" s="1"/>
      <c r="F114" s="1"/>
      <c r="G114" s="40"/>
      <c r="H114" s="35"/>
      <c r="I114" s="171"/>
      <c r="J114" s="327"/>
      <c r="K114" s="457"/>
      <c r="L114" s="3"/>
      <c r="M114" s="3"/>
      <c r="N114" s="393"/>
      <c r="O114" s="3"/>
      <c r="P114" s="3"/>
    </row>
    <row r="115" spans="2:16" ht="15.75" customHeight="1" thickBot="1">
      <c r="B115" s="595" t="s">
        <v>333</v>
      </c>
      <c r="C115" s="596"/>
      <c r="D115" s="596"/>
      <c r="E115" s="596"/>
      <c r="F115" s="597"/>
      <c r="J115" s="327"/>
      <c r="K115" s="457"/>
      <c r="L115" s="3"/>
      <c r="M115" s="3"/>
      <c r="N115" s="393"/>
      <c r="O115" s="3"/>
      <c r="P115" s="3"/>
    </row>
    <row r="116" spans="2:16" ht="15.75" customHeight="1" thickBot="1">
      <c r="B116" s="23" t="s">
        <v>314</v>
      </c>
      <c r="C116" s="659" t="s">
        <v>333</v>
      </c>
      <c r="D116" s="660"/>
      <c r="E116" s="661"/>
      <c r="F116" s="47" t="s">
        <v>323</v>
      </c>
      <c r="J116" s="327"/>
      <c r="K116" s="457"/>
      <c r="L116" s="3"/>
      <c r="M116" s="3"/>
      <c r="N116" s="393"/>
      <c r="O116" s="3"/>
      <c r="P116" s="3"/>
    </row>
    <row r="117" spans="2:16" ht="15.75" customHeight="1">
      <c r="B117" s="41"/>
      <c r="C117" s="43"/>
      <c r="D117" s="58"/>
      <c r="E117" s="238"/>
      <c r="F117" s="42"/>
      <c r="J117" s="327"/>
      <c r="K117" s="457"/>
      <c r="L117" s="3"/>
      <c r="M117" s="3"/>
      <c r="N117" s="393"/>
      <c r="O117" s="3"/>
      <c r="P117" s="3"/>
    </row>
    <row r="118" spans="2:16" ht="15.75" customHeight="1">
      <c r="B118" s="34"/>
      <c r="C118" s="45"/>
      <c r="D118" s="58"/>
      <c r="E118" s="239"/>
      <c r="F118" s="33"/>
      <c r="J118" s="327"/>
      <c r="K118" s="457"/>
      <c r="L118" s="3"/>
      <c r="M118" s="3"/>
      <c r="N118" s="393"/>
      <c r="O118" s="3"/>
      <c r="P118" s="3"/>
    </row>
    <row r="119" spans="2:16" ht="15.75" customHeight="1" thickBot="1">
      <c r="B119" s="67"/>
      <c r="C119" s="68"/>
      <c r="D119" s="60"/>
      <c r="E119" s="240"/>
      <c r="F119" s="24"/>
      <c r="J119" s="327"/>
      <c r="K119" s="457"/>
      <c r="L119" s="3"/>
      <c r="M119" s="3"/>
      <c r="N119" s="393"/>
      <c r="O119" s="3"/>
      <c r="P119" s="3"/>
    </row>
    <row r="120" spans="2:16" ht="15.75" customHeight="1" thickBot="1">
      <c r="B120" s="442"/>
      <c r="C120" s="657"/>
      <c r="D120" s="658"/>
      <c r="E120" s="241"/>
      <c r="F120" s="48">
        <f>+SUM(F117:F119)</f>
        <v>0</v>
      </c>
      <c r="J120" s="327"/>
      <c r="K120" s="457"/>
      <c r="L120" s="3"/>
      <c r="M120" s="3"/>
      <c r="N120" s="393"/>
      <c r="O120" s="3"/>
      <c r="P120" s="3"/>
    </row>
    <row r="121" spans="2:16" ht="15.75" customHeight="1" thickBot="1">
      <c r="B121" s="441"/>
      <c r="C121" s="13"/>
      <c r="D121" s="13"/>
      <c r="E121" s="1"/>
      <c r="J121" s="327"/>
      <c r="K121" s="457"/>
      <c r="L121" s="3"/>
      <c r="M121" s="3"/>
      <c r="N121" s="393"/>
      <c r="O121" s="3"/>
      <c r="P121" s="3"/>
    </row>
    <row r="122" spans="2:16" ht="15.75" customHeight="1" thickBot="1">
      <c r="B122" s="606" t="s">
        <v>334</v>
      </c>
      <c r="C122" s="607"/>
      <c r="D122" s="607"/>
      <c r="E122" s="607"/>
      <c r="F122" s="607"/>
      <c r="G122" s="607"/>
      <c r="H122" s="607"/>
      <c r="I122" s="646"/>
      <c r="J122" s="327"/>
      <c r="K122" s="457"/>
      <c r="L122" s="3"/>
      <c r="M122" s="3"/>
      <c r="N122" s="393"/>
      <c r="O122" s="3"/>
      <c r="P122" s="3"/>
    </row>
    <row r="123" spans="2:16" ht="18.75" customHeight="1" thickBot="1">
      <c r="B123" s="629" t="s">
        <v>335</v>
      </c>
      <c r="C123" s="608"/>
      <c r="D123" s="70" t="s">
        <v>3</v>
      </c>
      <c r="E123" s="270" t="s">
        <v>336</v>
      </c>
      <c r="F123" s="270" t="s">
        <v>325</v>
      </c>
      <c r="G123" s="76" t="s">
        <v>337</v>
      </c>
      <c r="H123" s="80" t="s">
        <v>325</v>
      </c>
      <c r="I123" s="284" t="s">
        <v>336</v>
      </c>
      <c r="J123" s="8"/>
      <c r="K123" s="366"/>
    </row>
    <row r="124" spans="2:16" ht="15.75" hidden="1" customHeight="1" thickBot="1">
      <c r="B124" s="443"/>
      <c r="C124" s="285"/>
      <c r="D124" s="286"/>
      <c r="E124" s="287"/>
      <c r="F124" s="288"/>
      <c r="G124" s="289"/>
      <c r="H124" s="290"/>
      <c r="I124" s="291"/>
      <c r="J124" s="336"/>
      <c r="K124" s="366"/>
    </row>
    <row r="125" spans="2:16" ht="15.75" hidden="1" customHeight="1">
      <c r="B125" s="444"/>
      <c r="C125" s="292"/>
      <c r="D125" s="293"/>
      <c r="E125" s="294"/>
      <c r="F125" s="294"/>
      <c r="G125" s="295"/>
      <c r="H125" s="296"/>
      <c r="I125" s="297"/>
      <c r="J125" s="337"/>
      <c r="K125" s="366"/>
      <c r="L125" s="3"/>
    </row>
    <row r="126" spans="2:16" ht="18.600000000000001" hidden="1" thickBot="1">
      <c r="B126" s="444"/>
      <c r="C126" s="292"/>
      <c r="D126" s="293"/>
      <c r="E126" s="294"/>
      <c r="F126" s="294"/>
      <c r="G126" s="298"/>
      <c r="H126" s="296"/>
      <c r="I126" s="297"/>
      <c r="J126" s="338"/>
      <c r="K126" s="366"/>
      <c r="L126" s="3"/>
    </row>
    <row r="127" spans="2:16" ht="18.600000000000001" hidden="1" thickBot="1">
      <c r="B127" s="444"/>
      <c r="C127" s="299"/>
      <c r="D127" s="293"/>
      <c r="E127" s="294"/>
      <c r="F127" s="294"/>
      <c r="G127" s="294"/>
      <c r="H127" s="296"/>
      <c r="I127" s="297"/>
      <c r="J127" s="338"/>
      <c r="K127" s="366"/>
      <c r="L127" s="3"/>
    </row>
    <row r="128" spans="2:16" ht="18.600000000000001" hidden="1" thickBot="1">
      <c r="B128" s="444"/>
      <c r="C128" s="299"/>
      <c r="D128" s="293"/>
      <c r="E128" s="294"/>
      <c r="F128" s="294"/>
      <c r="G128" s="294"/>
      <c r="H128" s="296"/>
      <c r="I128" s="297"/>
      <c r="J128" s="338"/>
      <c r="K128" s="366"/>
      <c r="L128" s="3"/>
    </row>
    <row r="129" spans="2:16" ht="18.600000000000001" hidden="1" thickBot="1">
      <c r="B129" s="444"/>
      <c r="C129" s="292"/>
      <c r="D129" s="300"/>
      <c r="E129" s="294"/>
      <c r="F129" s="294"/>
      <c r="G129" s="294"/>
      <c r="H129" s="296"/>
      <c r="I129" s="297"/>
      <c r="J129" s="339"/>
      <c r="K129" s="366"/>
      <c r="L129" s="3"/>
    </row>
    <row r="130" spans="2:16" ht="18.600000000000001" hidden="1" thickBot="1">
      <c r="B130" s="445"/>
      <c r="C130" s="301"/>
      <c r="D130" s="302"/>
      <c r="E130" s="303"/>
      <c r="F130" s="303"/>
      <c r="G130" s="303"/>
      <c r="H130" s="304"/>
      <c r="I130" s="277"/>
      <c r="J130" s="339"/>
      <c r="K130" s="366"/>
      <c r="L130" s="3"/>
    </row>
    <row r="131" spans="2:16" ht="15" hidden="1" customHeight="1" thickBot="1">
      <c r="B131" s="446"/>
      <c r="C131" s="278"/>
      <c r="D131" s="279"/>
      <c r="E131" s="280"/>
      <c r="F131" s="281">
        <f>SUM(F124:F130)</f>
        <v>0</v>
      </c>
      <c r="G131" s="356"/>
      <c r="H131" s="282"/>
      <c r="I131" s="283"/>
      <c r="J131" s="339"/>
      <c r="K131" s="366"/>
      <c r="L131" s="3"/>
    </row>
    <row r="132" spans="2:16" ht="15.75" hidden="1" customHeight="1" thickBot="1">
      <c r="B132" s="39"/>
      <c r="C132" s="39"/>
      <c r="D132" s="39"/>
      <c r="E132" s="242"/>
      <c r="F132" s="243"/>
      <c r="G132" s="38"/>
      <c r="J132" s="338"/>
      <c r="K132" s="366"/>
      <c r="L132" s="3"/>
    </row>
    <row r="133" spans="2:16" s="9" customFormat="1" ht="15.75" hidden="1" customHeight="1" thickBot="1">
      <c r="B133" s="606" t="s">
        <v>393</v>
      </c>
      <c r="C133" s="607"/>
      <c r="D133" s="607"/>
      <c r="E133" s="607"/>
      <c r="F133" s="607"/>
      <c r="G133" s="646"/>
      <c r="H133" s="40"/>
      <c r="I133" s="40"/>
      <c r="J133" s="338"/>
      <c r="K133" s="366"/>
      <c r="L133" s="271"/>
      <c r="M133" s="366"/>
      <c r="N133" s="366"/>
      <c r="O133" s="366"/>
      <c r="P133" s="366"/>
    </row>
    <row r="134" spans="2:16" ht="15" hidden="1" customHeight="1">
      <c r="B134" s="71" t="s">
        <v>314</v>
      </c>
      <c r="C134" s="70" t="s">
        <v>339</v>
      </c>
      <c r="D134" s="70" t="s">
        <v>317</v>
      </c>
      <c r="E134" s="642" t="s">
        <v>340</v>
      </c>
      <c r="F134" s="643"/>
      <c r="G134" s="126" t="s">
        <v>317</v>
      </c>
      <c r="J134" s="338"/>
      <c r="K134" s="366"/>
      <c r="L134" s="3"/>
    </row>
    <row r="135" spans="2:16" ht="15" hidden="1" customHeight="1">
      <c r="B135" s="203"/>
      <c r="C135" s="322"/>
      <c r="D135" s="190"/>
      <c r="E135" s="644"/>
      <c r="F135" s="645"/>
      <c r="G135" s="227"/>
      <c r="H135" s="124"/>
      <c r="J135" s="338"/>
      <c r="K135" s="366"/>
      <c r="L135" s="3"/>
    </row>
    <row r="136" spans="2:16" ht="15" hidden="1" customHeight="1">
      <c r="B136" s="330"/>
      <c r="C136" s="331"/>
      <c r="D136" s="332"/>
      <c r="E136" s="640"/>
      <c r="F136" s="641"/>
      <c r="G136" s="357"/>
      <c r="H136" s="124"/>
      <c r="J136" s="338"/>
      <c r="K136" s="366"/>
      <c r="L136" s="3"/>
    </row>
    <row r="137" spans="2:16" ht="15" hidden="1" customHeight="1">
      <c r="B137" s="204"/>
      <c r="C137" s="58"/>
      <c r="D137" s="191"/>
      <c r="E137" s="647"/>
      <c r="F137" s="647"/>
      <c r="G137" s="315"/>
      <c r="H137" s="124"/>
      <c r="J137" s="338"/>
      <c r="K137" s="366"/>
      <c r="L137" s="3"/>
    </row>
    <row r="138" spans="2:16" ht="15" hidden="1" customHeight="1">
      <c r="B138" s="447"/>
      <c r="C138" s="192"/>
      <c r="D138" s="193"/>
      <c r="E138" s="612"/>
      <c r="F138" s="612"/>
      <c r="G138" s="341"/>
      <c r="H138" s="179"/>
      <c r="I138" s="145"/>
      <c r="J138" s="338"/>
      <c r="K138" s="366"/>
      <c r="L138" s="3"/>
    </row>
    <row r="139" spans="2:16" ht="15" hidden="1" customHeight="1">
      <c r="B139" s="448"/>
      <c r="C139" s="207"/>
      <c r="D139" s="208"/>
      <c r="E139" s="609"/>
      <c r="F139" s="610"/>
      <c r="G139" s="358">
        <f>SUM(G135:G138)</f>
        <v>0</v>
      </c>
      <c r="H139" s="209">
        <f>+G139-D139</f>
        <v>0</v>
      </c>
      <c r="I139" s="210"/>
      <c r="J139" s="338"/>
      <c r="K139" s="366"/>
      <c r="L139" s="3"/>
    </row>
    <row r="140" spans="2:16" ht="15.75" hidden="1" customHeight="1" thickBot="1">
      <c r="B140" s="39"/>
      <c r="C140" s="39"/>
      <c r="D140" s="39"/>
      <c r="E140" s="242"/>
      <c r="F140" s="243"/>
      <c r="G140" s="38"/>
      <c r="J140" s="338"/>
      <c r="K140" s="366"/>
      <c r="L140" s="3"/>
    </row>
    <row r="141" spans="2:16" ht="15.75" hidden="1" customHeight="1" thickBot="1">
      <c r="B141" s="606" t="s">
        <v>338</v>
      </c>
      <c r="C141" s="607"/>
      <c r="D141" s="607"/>
      <c r="E141" s="607"/>
      <c r="F141" s="607"/>
      <c r="G141" s="646"/>
      <c r="J141" s="338"/>
      <c r="K141" s="366"/>
      <c r="L141" s="3"/>
    </row>
    <row r="142" spans="2:16" ht="15" hidden="1" thickBot="1">
      <c r="B142" s="71" t="s">
        <v>314</v>
      </c>
      <c r="C142" s="70" t="s">
        <v>339</v>
      </c>
      <c r="D142" s="70" t="s">
        <v>317</v>
      </c>
      <c r="E142" s="642" t="s">
        <v>340</v>
      </c>
      <c r="F142" s="643"/>
      <c r="G142" s="126" t="s">
        <v>317</v>
      </c>
      <c r="J142" s="339"/>
      <c r="K142" s="366"/>
      <c r="L142" s="3"/>
    </row>
    <row r="143" spans="2:16" ht="15" hidden="1" thickBot="1">
      <c r="B143" s="203"/>
      <c r="C143" s="437"/>
      <c r="D143" s="190"/>
      <c r="E143" s="611"/>
      <c r="F143" s="611"/>
      <c r="G143" s="227"/>
      <c r="H143" s="124"/>
      <c r="J143" s="339"/>
      <c r="K143" s="366"/>
      <c r="L143" s="3"/>
    </row>
    <row r="144" spans="2:16" ht="15" hidden="1" thickBot="1">
      <c r="B144" s="330"/>
      <c r="C144" s="438"/>
      <c r="D144" s="332"/>
      <c r="E144" s="640"/>
      <c r="F144" s="641"/>
      <c r="G144" s="357"/>
      <c r="H144" s="124"/>
      <c r="J144" s="95"/>
      <c r="K144" s="366"/>
      <c r="L144" s="3"/>
    </row>
    <row r="145" spans="2:16" ht="15" hidden="1" thickBot="1">
      <c r="B145" s="447"/>
      <c r="C145" s="192"/>
      <c r="D145" s="193"/>
      <c r="E145" s="612"/>
      <c r="F145" s="612"/>
      <c r="G145" s="341"/>
      <c r="H145" s="179"/>
      <c r="I145" s="145"/>
      <c r="J145" s="95"/>
      <c r="K145" s="366"/>
      <c r="L145" s="3"/>
    </row>
    <row r="146" spans="2:16" ht="16.2" hidden="1" thickBot="1">
      <c r="B146" s="448"/>
      <c r="C146" s="207"/>
      <c r="D146" s="208"/>
      <c r="E146" s="609"/>
      <c r="F146" s="610"/>
      <c r="G146" s="358"/>
      <c r="H146" s="209">
        <f>+G146-D146</f>
        <v>0</v>
      </c>
      <c r="I146" s="210"/>
      <c r="J146" s="95"/>
      <c r="K146" s="366"/>
      <c r="L146" s="3"/>
    </row>
    <row r="147" spans="2:16" ht="16.2" hidden="1" thickBot="1">
      <c r="B147" s="449"/>
      <c r="C147" s="206"/>
      <c r="D147" s="214"/>
      <c r="E147" s="244"/>
      <c r="F147" s="244"/>
      <c r="G147" s="359"/>
      <c r="H147" s="209"/>
      <c r="I147" s="210"/>
      <c r="J147" s="95"/>
      <c r="K147" s="366"/>
      <c r="L147" s="3"/>
    </row>
    <row r="148" spans="2:16" ht="15" hidden="1" thickBot="1">
      <c r="B148" s="606" t="s">
        <v>341</v>
      </c>
      <c r="C148" s="607"/>
      <c r="D148" s="607"/>
      <c r="E148" s="607"/>
      <c r="F148" s="607"/>
      <c r="G148" s="646"/>
      <c r="K148" s="366"/>
    </row>
    <row r="149" spans="2:16" s="206" customFormat="1" ht="16.2" hidden="1" thickBot="1">
      <c r="B149" s="71" t="s">
        <v>314</v>
      </c>
      <c r="C149" s="70" t="s">
        <v>339</v>
      </c>
      <c r="D149" s="70" t="s">
        <v>317</v>
      </c>
      <c r="E149" s="642" t="s">
        <v>340</v>
      </c>
      <c r="F149" s="643"/>
      <c r="G149" s="126" t="s">
        <v>317</v>
      </c>
      <c r="H149" s="40"/>
      <c r="I149" s="145"/>
      <c r="J149" s="340"/>
      <c r="K149" s="366"/>
      <c r="L149" s="368"/>
      <c r="M149" s="368"/>
      <c r="N149" s="368"/>
      <c r="O149" s="368"/>
      <c r="P149" s="368"/>
    </row>
    <row r="150" spans="2:16">
      <c r="B150" s="203"/>
      <c r="C150" s="189"/>
      <c r="D150" s="190"/>
      <c r="E150" s="648"/>
      <c r="F150" s="648"/>
      <c r="G150" s="549"/>
      <c r="H150" s="553"/>
      <c r="I150" s="77"/>
      <c r="J150" s="339"/>
      <c r="K150" s="458"/>
      <c r="L150" s="3"/>
    </row>
    <row r="151" spans="2:16">
      <c r="B151" s="204"/>
      <c r="C151" s="58"/>
      <c r="D151" s="191"/>
      <c r="E151" s="615"/>
      <c r="F151" s="616"/>
      <c r="G151" s="550"/>
      <c r="H151" s="553"/>
      <c r="I151" s="77"/>
      <c r="J151" s="339"/>
      <c r="K151" s="366"/>
      <c r="L151" s="3"/>
    </row>
    <row r="152" spans="2:16">
      <c r="B152" s="204"/>
      <c r="C152" s="58"/>
      <c r="D152" s="191"/>
      <c r="E152" s="615"/>
      <c r="F152" s="616"/>
      <c r="G152" s="550"/>
      <c r="H152" s="553"/>
      <c r="I152" s="77"/>
      <c r="J152" s="95"/>
      <c r="K152" s="366"/>
      <c r="L152" s="3"/>
    </row>
    <row r="153" spans="2:16" ht="15" thickBot="1">
      <c r="B153" s="447"/>
      <c r="C153" s="192"/>
      <c r="D153" s="193"/>
      <c r="E153" s="612"/>
      <c r="F153" s="612"/>
      <c r="G153" s="551"/>
      <c r="H153" s="554"/>
      <c r="I153" s="555"/>
      <c r="J153" s="95"/>
      <c r="K153" s="366"/>
      <c r="L153" s="3"/>
    </row>
    <row r="154" spans="2:16" ht="16.2" thickBot="1">
      <c r="B154" s="448"/>
      <c r="C154" s="207"/>
      <c r="D154" s="208"/>
      <c r="E154" s="609"/>
      <c r="F154" s="610"/>
      <c r="G154" s="552">
        <f>SUM(G150:G153)</f>
        <v>0</v>
      </c>
      <c r="H154" s="556">
        <f>+G154-D154</f>
        <v>0</v>
      </c>
      <c r="I154" s="557"/>
      <c r="J154" s="95"/>
      <c r="K154" s="366"/>
      <c r="L154" s="3"/>
    </row>
    <row r="155" spans="2:16" ht="16.2" thickBot="1">
      <c r="B155" s="449"/>
      <c r="C155" s="206"/>
      <c r="D155" s="214"/>
      <c r="E155" s="244"/>
      <c r="F155" s="244"/>
      <c r="G155" s="359"/>
      <c r="H155" s="209"/>
      <c r="I155" s="210"/>
      <c r="K155" s="366"/>
    </row>
    <row r="156" spans="2:16" s="206" customFormat="1" ht="16.2" thickBot="1">
      <c r="B156" s="606" t="s">
        <v>342</v>
      </c>
      <c r="C156" s="607"/>
      <c r="D156" s="607"/>
      <c r="E156" s="607"/>
      <c r="F156" s="607"/>
      <c r="G156" s="608"/>
      <c r="H156" s="40"/>
      <c r="I156" s="168"/>
      <c r="J156" s="340"/>
      <c r="K156" s="366"/>
      <c r="L156" s="368"/>
      <c r="M156" s="368"/>
      <c r="N156" s="368"/>
      <c r="O156" s="368"/>
      <c r="P156" s="368"/>
    </row>
    <row r="157" spans="2:16" s="206" customFormat="1" ht="15.6">
      <c r="B157" s="72" t="s">
        <v>314</v>
      </c>
      <c r="C157" s="73" t="s">
        <v>315</v>
      </c>
      <c r="D157" s="70" t="s">
        <v>323</v>
      </c>
      <c r="E157" s="74" t="s">
        <v>343</v>
      </c>
      <c r="F157" s="533" t="s">
        <v>344</v>
      </c>
      <c r="G157" s="531" t="s">
        <v>1</v>
      </c>
      <c r="H157" s="127"/>
      <c r="I157" s="170"/>
      <c r="J157" s="340"/>
      <c r="K157" s="366"/>
      <c r="L157" s="368"/>
      <c r="M157" s="368"/>
      <c r="N157" s="368"/>
      <c r="O157" s="368"/>
      <c r="P157" s="368"/>
    </row>
    <row r="158" spans="2:16">
      <c r="B158" s="592"/>
      <c r="C158" s="589"/>
      <c r="D158" s="532"/>
      <c r="E158" s="530"/>
      <c r="F158" s="534"/>
      <c r="G158" s="16"/>
      <c r="H158" s="127"/>
      <c r="I158" s="170"/>
      <c r="J158" s="339"/>
      <c r="K158" s="366"/>
      <c r="L158" s="3"/>
    </row>
    <row r="159" spans="2:16">
      <c r="B159" s="593"/>
      <c r="C159" s="590"/>
      <c r="D159" s="532"/>
      <c r="E159" s="530"/>
      <c r="F159" s="535"/>
      <c r="G159" s="16"/>
      <c r="H159" s="127"/>
      <c r="I159" s="170"/>
      <c r="J159" s="95"/>
      <c r="K159" s="366"/>
      <c r="L159" s="3"/>
    </row>
    <row r="160" spans="2:16">
      <c r="B160" s="593"/>
      <c r="C160" s="590"/>
      <c r="D160" s="532"/>
      <c r="E160" s="530"/>
      <c r="F160" s="534"/>
      <c r="G160" s="16"/>
      <c r="H160" s="127"/>
      <c r="I160" s="170"/>
      <c r="J160" s="95"/>
      <c r="K160" s="366"/>
      <c r="L160" s="3"/>
    </row>
    <row r="161" spans="2:16">
      <c r="B161" s="593"/>
      <c r="C161" s="590"/>
      <c r="D161" s="532"/>
      <c r="E161" s="530"/>
      <c r="F161" s="534"/>
      <c r="G161" s="16"/>
      <c r="H161" s="127"/>
      <c r="I161" s="170"/>
      <c r="J161" s="95"/>
      <c r="K161" s="366"/>
      <c r="L161" s="3"/>
    </row>
    <row r="162" spans="2:16">
      <c r="B162" s="593"/>
      <c r="C162" s="590"/>
      <c r="D162" s="532"/>
      <c r="E162" s="530"/>
      <c r="F162" s="534"/>
      <c r="G162" s="16"/>
      <c r="H162" s="127"/>
      <c r="I162" s="170"/>
      <c r="J162" s="95"/>
      <c r="K162" s="366"/>
      <c r="L162" s="3"/>
    </row>
    <row r="163" spans="2:16">
      <c r="B163" s="593"/>
      <c r="C163" s="590"/>
      <c r="D163" s="532"/>
      <c r="E163" s="530"/>
      <c r="F163" s="534"/>
      <c r="G163" s="16"/>
      <c r="H163" s="127"/>
      <c r="I163" s="170"/>
      <c r="K163" s="366"/>
    </row>
    <row r="164" spans="2:16" s="206" customFormat="1" ht="15.6">
      <c r="B164" s="593"/>
      <c r="C164" s="590"/>
      <c r="D164" s="532"/>
      <c r="E164" s="530"/>
      <c r="F164" s="534"/>
      <c r="G164" s="16"/>
      <c r="H164" s="127"/>
      <c r="I164" s="170"/>
      <c r="J164" s="340"/>
      <c r="K164" s="366"/>
      <c r="L164" s="368"/>
      <c r="M164" s="368"/>
      <c r="N164" s="368"/>
      <c r="O164" s="368"/>
      <c r="P164" s="368"/>
    </row>
    <row r="165" spans="2:16" s="206" customFormat="1" ht="15.6">
      <c r="B165" s="593"/>
      <c r="C165" s="590"/>
      <c r="D165" s="532"/>
      <c r="E165" s="530"/>
      <c r="F165" s="534"/>
      <c r="G165" s="16"/>
      <c r="H165" s="127"/>
      <c r="I165" s="170"/>
      <c r="J165" s="340"/>
      <c r="K165" s="366"/>
      <c r="L165" s="368"/>
      <c r="M165" s="368"/>
      <c r="N165" s="368"/>
      <c r="O165" s="368"/>
      <c r="P165" s="368"/>
    </row>
    <row r="166" spans="2:16">
      <c r="B166" s="593"/>
      <c r="C166" s="590"/>
      <c r="D166" s="532"/>
      <c r="E166" s="530"/>
      <c r="F166" s="534"/>
      <c r="G166" s="16"/>
      <c r="H166" s="127"/>
      <c r="I166" s="170"/>
      <c r="K166" s="366"/>
    </row>
    <row r="167" spans="2:16">
      <c r="B167" s="593"/>
      <c r="C167" s="590"/>
      <c r="D167" s="532"/>
      <c r="E167" s="530"/>
      <c r="F167" s="534"/>
      <c r="G167" s="16"/>
      <c r="H167" s="127"/>
      <c r="I167" s="170"/>
    </row>
    <row r="168" spans="2:16">
      <c r="B168" s="593"/>
      <c r="C168" s="590"/>
      <c r="D168" s="532"/>
      <c r="E168" s="530"/>
      <c r="F168" s="534"/>
      <c r="G168" s="16"/>
      <c r="H168" s="127"/>
      <c r="I168" s="170"/>
    </row>
    <row r="169" spans="2:16">
      <c r="B169" s="594"/>
      <c r="C169" s="591"/>
      <c r="D169" s="532"/>
      <c r="E169" s="530"/>
      <c r="F169" s="534"/>
      <c r="G169" s="16"/>
      <c r="H169" s="127"/>
      <c r="I169" s="170"/>
    </row>
    <row r="170" spans="2:16" ht="15" thickBot="1">
      <c r="B170" s="538"/>
      <c r="C170" s="119"/>
      <c r="D170" s="193"/>
      <c r="E170" s="234"/>
      <c r="F170" s="234"/>
      <c r="G170" s="537"/>
    </row>
    <row r="171" spans="2:16" ht="15" thickBot="1">
      <c r="B171" s="23"/>
      <c r="C171" s="92"/>
      <c r="D171" s="93">
        <f>SUM(D158:D170)</f>
        <v>0</v>
      </c>
      <c r="E171" s="94"/>
      <c r="F171" s="245"/>
      <c r="G171" s="128"/>
    </row>
    <row r="172" spans="2:16">
      <c r="B172" s="441"/>
      <c r="C172" s="13"/>
      <c r="D172" s="13"/>
    </row>
    <row r="179" spans="6:7" ht="15.75" customHeight="1"/>
    <row r="180" spans="6:7" ht="15" customHeight="1"/>
    <row r="181" spans="6:7">
      <c r="F181" s="246"/>
      <c r="G181" s="129"/>
    </row>
    <row r="188" spans="6:7" ht="15.75" customHeight="1"/>
    <row r="189" spans="6:7" ht="15" customHeight="1"/>
    <row r="191" spans="6:7" ht="15.15" customHeight="1"/>
    <row r="193" ht="15" customHeight="1"/>
    <row r="194" ht="28.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44" spans="4:4" ht="14.25" customHeight="1">
      <c r="D244" s="54"/>
    </row>
    <row r="245" spans="4:4" ht="14.25" customHeight="1">
      <c r="D245" s="54"/>
    </row>
    <row r="246" spans="4:4" ht="14.25" customHeight="1">
      <c r="D246" s="54"/>
    </row>
    <row r="247" spans="4:4" ht="14.25" customHeight="1">
      <c r="D247" s="54"/>
    </row>
    <row r="248" spans="4:4" ht="14.25" customHeight="1">
      <c r="D248" s="54"/>
    </row>
    <row r="249" spans="4:4" ht="14.25" customHeight="1"/>
    <row r="250" spans="4:4" ht="14.25" customHeight="1"/>
    <row r="251" spans="4:4" ht="14.25" customHeight="1"/>
    <row r="252" spans="4:4" ht="15.75" customHeight="1"/>
  </sheetData>
  <mergeCells count="61">
    <mergeCell ref="I101:I105"/>
    <mergeCell ref="I107:I110"/>
    <mergeCell ref="I111:I112"/>
    <mergeCell ref="B123:C123"/>
    <mergeCell ref="E136:F136"/>
    <mergeCell ref="C120:D120"/>
    <mergeCell ref="C116:E116"/>
    <mergeCell ref="B133:G133"/>
    <mergeCell ref="B122:I122"/>
    <mergeCell ref="C101:C105"/>
    <mergeCell ref="B101:B105"/>
    <mergeCell ref="D107:D110"/>
    <mergeCell ref="C107:C110"/>
    <mergeCell ref="B107:B110"/>
    <mergeCell ref="D111:D112"/>
    <mergeCell ref="C111:C112"/>
    <mergeCell ref="D101:D105"/>
    <mergeCell ref="E144:F144"/>
    <mergeCell ref="E152:F152"/>
    <mergeCell ref="E142:F142"/>
    <mergeCell ref="E134:F134"/>
    <mergeCell ref="E135:F135"/>
    <mergeCell ref="B141:G141"/>
    <mergeCell ref="E139:F139"/>
    <mergeCell ref="E137:F137"/>
    <mergeCell ref="E138:F138"/>
    <mergeCell ref="E149:F149"/>
    <mergeCell ref="E150:F150"/>
    <mergeCell ref="B148:G148"/>
    <mergeCell ref="E111:E112"/>
    <mergeCell ref="E153:F153"/>
    <mergeCell ref="E154:F154"/>
    <mergeCell ref="E151:F151"/>
    <mergeCell ref="B2:E2"/>
    <mergeCell ref="B7:D7"/>
    <mergeCell ref="B113:D113"/>
    <mergeCell ref="B41:D41"/>
    <mergeCell ref="B29:H29"/>
    <mergeCell ref="B56:E56"/>
    <mergeCell ref="B44:H44"/>
    <mergeCell ref="B61:D61"/>
    <mergeCell ref="B63:H63"/>
    <mergeCell ref="B99:I99"/>
    <mergeCell ref="E107:E110"/>
    <mergeCell ref="E101:E105"/>
    <mergeCell ref="B111:B112"/>
    <mergeCell ref="C158:C169"/>
    <mergeCell ref="B158:B169"/>
    <mergeCell ref="B9:H9"/>
    <mergeCell ref="B27:D27"/>
    <mergeCell ref="B115:F115"/>
    <mergeCell ref="B88:H88"/>
    <mergeCell ref="B97:D97"/>
    <mergeCell ref="B71:D71"/>
    <mergeCell ref="B73:H73"/>
    <mergeCell ref="B86:D86"/>
    <mergeCell ref="C65:D65"/>
    <mergeCell ref="B156:G156"/>
    <mergeCell ref="E146:F146"/>
    <mergeCell ref="E143:F143"/>
    <mergeCell ref="E145:F145"/>
  </mergeCells>
  <phoneticPr fontId="10" type="noConversion"/>
  <pageMargins left="0.7" right="0.7" top="0.75" bottom="0.75" header="0.3" footer="0.3"/>
  <pageSetup paperSize="9"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54DF-C11B-443F-85A7-9947DAC5B2E2}">
  <sheetPr codeName="Hoja3"/>
  <dimension ref="A1:L149"/>
  <sheetViews>
    <sheetView zoomScale="70" zoomScaleNormal="70" workbookViewId="0">
      <selection activeCell="A15" sqref="A15"/>
    </sheetView>
  </sheetViews>
  <sheetFormatPr baseColWidth="10" defaultColWidth="11.44140625" defaultRowHeight="14.4"/>
  <cols>
    <col min="1" max="1" width="76" style="431" customWidth="1"/>
    <col min="2" max="16384" width="11.44140625" style="348"/>
  </cols>
  <sheetData>
    <row r="1" spans="1:3">
      <c r="A1" s="429"/>
      <c r="C1" s="429"/>
    </row>
    <row r="3" spans="1:3">
      <c r="A3" s="133"/>
    </row>
    <row r="17" spans="1:1">
      <c r="A17" s="152"/>
    </row>
    <row r="20" spans="1:1">
      <c r="A20" s="430"/>
    </row>
    <row r="38" spans="1:7">
      <c r="A38" s="152"/>
      <c r="G38" s="429"/>
    </row>
    <row r="53" spans="1:4">
      <c r="A53" s="432"/>
    </row>
    <row r="55" spans="1:4">
      <c r="D55" s="429"/>
    </row>
    <row r="57" spans="1:4">
      <c r="A57" s="433"/>
    </row>
    <row r="64" spans="1:4">
      <c r="A64" s="431" t="s">
        <v>423</v>
      </c>
    </row>
    <row r="72" spans="12:12">
      <c r="L72" s="348">
        <v>1</v>
      </c>
    </row>
    <row r="82" spans="12:12">
      <c r="L82" s="348">
        <v>2</v>
      </c>
    </row>
    <row r="95" spans="12:12">
      <c r="L95" s="348">
        <v>3</v>
      </c>
    </row>
    <row r="105" spans="12:12">
      <c r="L105" s="348">
        <v>4</v>
      </c>
    </row>
    <row r="115" spans="12:12">
      <c r="L115" s="348">
        <v>5</v>
      </c>
    </row>
    <row r="126" spans="12:12">
      <c r="L126" s="348">
        <v>6</v>
      </c>
    </row>
    <row r="137" spans="12:12">
      <c r="L137" s="348">
        <v>7</v>
      </c>
    </row>
    <row r="149" spans="12:12">
      <c r="L149" s="348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DC8B-9624-40CF-9F5D-3AA9670B6386}">
  <sheetPr codeName="Hoja2"/>
  <dimension ref="A1:T182"/>
  <sheetViews>
    <sheetView topLeftCell="A31" zoomScale="70" zoomScaleNormal="70" workbookViewId="0">
      <selection activeCell="D57" sqref="D57"/>
    </sheetView>
  </sheetViews>
  <sheetFormatPr baseColWidth="10" defaultColWidth="11.44140625" defaultRowHeight="14.4"/>
  <cols>
    <col min="1" max="16" width="11.44140625" style="344"/>
    <col min="17" max="17" width="11.44140625" style="381"/>
    <col min="18" max="16384" width="11.44140625" style="344"/>
  </cols>
  <sheetData>
    <row r="1" spans="1:4">
      <c r="A1" s="348"/>
    </row>
    <row r="7" spans="1:4">
      <c r="D7" s="152"/>
    </row>
    <row r="8" spans="1:4">
      <c r="C8" s="347"/>
    </row>
    <row r="22" spans="2:6">
      <c r="F22" s="152"/>
    </row>
    <row r="23" spans="2:6">
      <c r="B23" s="152"/>
    </row>
    <row r="28" spans="2:6">
      <c r="C28" s="346"/>
    </row>
    <row r="31" spans="2:6">
      <c r="D31" s="488">
        <v>1313375.06</v>
      </c>
    </row>
    <row r="35" spans="1:18">
      <c r="A35" s="344" t="s">
        <v>345</v>
      </c>
    </row>
    <row r="36" spans="1:18">
      <c r="B36" s="152"/>
    </row>
    <row r="41" spans="1:18">
      <c r="R41" s="344">
        <v>1</v>
      </c>
    </row>
    <row r="43" spans="1:18">
      <c r="B43" s="152"/>
    </row>
    <row r="44" spans="1:18">
      <c r="B44" s="345">
        <v>380407</v>
      </c>
    </row>
    <row r="49" spans="3:20">
      <c r="T49" s="398"/>
    </row>
    <row r="51" spans="3:20">
      <c r="R51" s="344">
        <v>2</v>
      </c>
    </row>
    <row r="58" spans="3:20">
      <c r="C58" s="152"/>
    </row>
    <row r="60" spans="3:20">
      <c r="F60" s="152"/>
    </row>
    <row r="71" spans="3:3">
      <c r="C71" s="152"/>
    </row>
    <row r="92" spans="17:17">
      <c r="Q92" s="381">
        <v>4</v>
      </c>
    </row>
    <row r="97" spans="17:18">
      <c r="R97" s="344">
        <v>6</v>
      </c>
    </row>
    <row r="103" spans="17:18">
      <c r="Q103" s="381">
        <v>5</v>
      </c>
    </row>
    <row r="109" spans="17:18">
      <c r="R109" s="344">
        <v>7</v>
      </c>
    </row>
    <row r="117" spans="17:18">
      <c r="Q117" s="381">
        <v>6</v>
      </c>
    </row>
    <row r="119" spans="17:18">
      <c r="R119" s="344">
        <v>8</v>
      </c>
    </row>
    <row r="130" spans="17:17">
      <c r="Q130" s="381">
        <v>7</v>
      </c>
    </row>
    <row r="160" spans="17:17">
      <c r="Q160"/>
    </row>
    <row r="182" spans="4:4">
      <c r="D182" s="152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8A80-82C5-4ABD-A965-1238E93CA399}">
  <dimension ref="A2:S206"/>
  <sheetViews>
    <sheetView zoomScale="70" zoomScaleNormal="70" workbookViewId="0">
      <selection activeCell="G28" sqref="G28"/>
    </sheetView>
  </sheetViews>
  <sheetFormatPr baseColWidth="10" defaultColWidth="11.44140625" defaultRowHeight="14.4"/>
  <sheetData>
    <row r="2" spans="1:18">
      <c r="A2" t="s">
        <v>346</v>
      </c>
    </row>
    <row r="4" spans="1:18" ht="15" thickBot="1">
      <c r="C4" s="112"/>
      <c r="D4" s="133"/>
    </row>
    <row r="6" spans="1:18">
      <c r="B6" s="10"/>
    </row>
    <row r="9" spans="1:18" ht="15" thickBot="1">
      <c r="H9" s="112"/>
    </row>
    <row r="11" spans="1:18">
      <c r="R11">
        <v>1</v>
      </c>
    </row>
    <row r="12" spans="1:18">
      <c r="B12" s="10"/>
    </row>
    <row r="18" spans="2:19">
      <c r="B18" s="10"/>
    </row>
    <row r="19" spans="2:19">
      <c r="J19" s="152"/>
    </row>
    <row r="22" spans="2:19">
      <c r="S22" s="263"/>
    </row>
    <row r="30" spans="2:19">
      <c r="B30" s="10"/>
      <c r="F30" s="320"/>
    </row>
    <row r="34" spans="2:18">
      <c r="R34">
        <v>2</v>
      </c>
    </row>
    <row r="39" spans="2:18">
      <c r="B39" s="10"/>
    </row>
    <row r="42" spans="2:18" ht="15" thickBot="1">
      <c r="J42" s="112"/>
    </row>
    <row r="45" spans="2:18">
      <c r="B45" s="10"/>
    </row>
    <row r="46" spans="2:18">
      <c r="B46" s="10"/>
    </row>
    <row r="62" spans="18:18">
      <c r="R62">
        <v>3</v>
      </c>
    </row>
    <row r="83" spans="18:18">
      <c r="R83">
        <v>4</v>
      </c>
    </row>
    <row r="110" spans="18:18">
      <c r="R110">
        <v>5</v>
      </c>
    </row>
    <row r="128" spans="1:1">
      <c r="A128" t="s">
        <v>347</v>
      </c>
    </row>
    <row r="131" spans="18:18">
      <c r="R131">
        <v>6</v>
      </c>
    </row>
    <row r="162" spans="18:18">
      <c r="R162">
        <v>7</v>
      </c>
    </row>
    <row r="184" spans="18:18">
      <c r="R184">
        <v>8</v>
      </c>
    </row>
    <row r="206" spans="19:19">
      <c r="S206">
        <v>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1:S45"/>
  <sheetViews>
    <sheetView workbookViewId="0">
      <selection activeCell="F10" sqref="F10"/>
    </sheetView>
  </sheetViews>
  <sheetFormatPr baseColWidth="10" defaultColWidth="11.44140625" defaultRowHeight="14.4"/>
  <cols>
    <col min="1" max="1" width="4.88671875" customWidth="1"/>
    <col min="2" max="2" width="14.44140625" style="57" bestFit="1" customWidth="1"/>
    <col min="3" max="3" width="18.33203125" customWidth="1"/>
    <col min="4" max="4" width="16.33203125" style="57" customWidth="1"/>
    <col min="5" max="5" width="13.5546875" customWidth="1"/>
    <col min="6" max="6" width="17.33203125" style="57" customWidth="1"/>
    <col min="7" max="7" width="4.6640625" style="57" customWidth="1"/>
    <col min="8" max="8" width="3.88671875" style="57" customWidth="1"/>
    <col min="9" max="9" width="15.6640625" customWidth="1"/>
    <col min="13" max="13" width="14.109375" customWidth="1"/>
  </cols>
  <sheetData>
    <row r="1" spans="2:19" ht="28.8">
      <c r="B1" s="62" t="s">
        <v>317</v>
      </c>
      <c r="D1" s="61">
        <v>0.12</v>
      </c>
      <c r="F1" s="69" t="s">
        <v>348</v>
      </c>
      <c r="I1" s="62" t="s">
        <v>317</v>
      </c>
      <c r="K1" s="61">
        <v>0.04</v>
      </c>
      <c r="M1" s="69" t="s">
        <v>348</v>
      </c>
      <c r="O1" s="62" t="s">
        <v>317</v>
      </c>
      <c r="Q1" s="61">
        <v>0.1</v>
      </c>
      <c r="S1" s="69" t="s">
        <v>348</v>
      </c>
    </row>
    <row r="2" spans="2:19">
      <c r="B2" s="62" t="s">
        <v>319</v>
      </c>
      <c r="D2" s="62" t="s">
        <v>349</v>
      </c>
      <c r="E2">
        <v>158</v>
      </c>
      <c r="F2" s="69">
        <f>+D3-E2</f>
        <v>967</v>
      </c>
      <c r="I2" s="62" t="s">
        <v>319</v>
      </c>
      <c r="K2" s="62" t="s">
        <v>349</v>
      </c>
      <c r="M2" s="69"/>
      <c r="O2" s="62" t="s">
        <v>319</v>
      </c>
      <c r="Q2" s="62" t="s">
        <v>349</v>
      </c>
      <c r="S2" s="69"/>
    </row>
    <row r="3" spans="2:19">
      <c r="B3" s="63">
        <v>9376.1299999999992</v>
      </c>
      <c r="C3" s="16">
        <f>+B3*12%</f>
        <v>1125.1355999999998</v>
      </c>
      <c r="D3" s="63">
        <f t="shared" ref="D3:D26" si="0">ROUND(C3,0.5)</f>
        <v>1125</v>
      </c>
      <c r="E3" s="64">
        <f t="shared" ref="E3:E26" si="1">+C3-D3</f>
        <v>0.13559999999984029</v>
      </c>
      <c r="F3" s="63">
        <f t="shared" ref="F3:F26" si="2">+B3-D3</f>
        <v>8251.1299999999992</v>
      </c>
      <c r="I3" s="63"/>
      <c r="J3" s="16">
        <f>+I3*4%</f>
        <v>0</v>
      </c>
      <c r="K3" s="63">
        <f>ROUND(J3,0.5)</f>
        <v>0</v>
      </c>
      <c r="L3" s="64">
        <f>+J3-K3</f>
        <v>0</v>
      </c>
      <c r="M3" s="63">
        <f>+I3-K3</f>
        <v>0</v>
      </c>
      <c r="O3" s="63"/>
      <c r="P3" s="16">
        <f>+O3*10%</f>
        <v>0</v>
      </c>
      <c r="Q3" s="63">
        <f>ROUND(P3,0.5)</f>
        <v>0</v>
      </c>
      <c r="R3" s="64">
        <f>+P3-Q3</f>
        <v>0</v>
      </c>
      <c r="S3" s="63">
        <f>+O3-Q3</f>
        <v>0</v>
      </c>
    </row>
    <row r="4" spans="2:19">
      <c r="B4" s="63">
        <v>30276.7</v>
      </c>
      <c r="C4" s="16">
        <f>+B4*12%</f>
        <v>3633.2040000000002</v>
      </c>
      <c r="D4" s="63">
        <f t="shared" si="0"/>
        <v>3633</v>
      </c>
      <c r="E4" s="64">
        <f t="shared" si="1"/>
        <v>0.20400000000017826</v>
      </c>
      <c r="F4" s="63">
        <f t="shared" si="2"/>
        <v>26643.7</v>
      </c>
      <c r="I4" s="63"/>
      <c r="J4" s="16">
        <f t="shared" ref="J4:J26" si="3">+I4*4%</f>
        <v>0</v>
      </c>
      <c r="K4" s="63">
        <f t="shared" ref="K4:K26" si="4">ROUND(J4,0.5)</f>
        <v>0</v>
      </c>
      <c r="L4" s="64">
        <f t="shared" ref="L4:L26" si="5">+J4-K4</f>
        <v>0</v>
      </c>
      <c r="M4" s="63">
        <f t="shared" ref="M4:M26" si="6">+I4-K4</f>
        <v>0</v>
      </c>
      <c r="O4" s="63"/>
      <c r="P4" s="16">
        <f t="shared" ref="P4:P26" si="7">+O4*4%</f>
        <v>0</v>
      </c>
      <c r="Q4" s="63">
        <f t="shared" ref="Q4:Q26" si="8">ROUND(P4,0.5)</f>
        <v>0</v>
      </c>
      <c r="R4" s="64">
        <f t="shared" ref="R4:R26" si="9">+P4-Q4</f>
        <v>0</v>
      </c>
      <c r="S4" s="63">
        <f t="shared" ref="S4:S26" si="10">+O4-Q4</f>
        <v>0</v>
      </c>
    </row>
    <row r="5" spans="2:19">
      <c r="B5" s="63">
        <v>38551.25</v>
      </c>
      <c r="C5" s="16">
        <f t="shared" ref="C5:C26" si="11">+B5*12%</f>
        <v>4626.1499999999996</v>
      </c>
      <c r="D5" s="63">
        <f t="shared" si="0"/>
        <v>4626</v>
      </c>
      <c r="E5" s="64">
        <f t="shared" si="1"/>
        <v>0.1499999999996362</v>
      </c>
      <c r="F5" s="63">
        <f t="shared" si="2"/>
        <v>33925.25</v>
      </c>
      <c r="I5" s="63"/>
      <c r="J5" s="16">
        <f t="shared" si="3"/>
        <v>0</v>
      </c>
      <c r="K5" s="63">
        <f t="shared" si="4"/>
        <v>0</v>
      </c>
      <c r="L5" s="64">
        <f t="shared" si="5"/>
        <v>0</v>
      </c>
      <c r="M5" s="63">
        <f t="shared" si="6"/>
        <v>0</v>
      </c>
      <c r="O5" s="63"/>
      <c r="P5" s="16">
        <f t="shared" si="7"/>
        <v>0</v>
      </c>
      <c r="Q5" s="63">
        <f t="shared" si="8"/>
        <v>0</v>
      </c>
      <c r="R5" s="64">
        <f t="shared" si="9"/>
        <v>0</v>
      </c>
      <c r="S5" s="63">
        <f t="shared" si="10"/>
        <v>0</v>
      </c>
    </row>
    <row r="6" spans="2:19">
      <c r="B6" s="63">
        <v>32875.14</v>
      </c>
      <c r="C6" s="16">
        <f t="shared" si="11"/>
        <v>3945.0167999999999</v>
      </c>
      <c r="D6" s="63">
        <f t="shared" si="0"/>
        <v>3945</v>
      </c>
      <c r="E6" s="64">
        <f t="shared" si="1"/>
        <v>1.6799999999875581E-2</v>
      </c>
      <c r="F6" s="63">
        <f t="shared" si="2"/>
        <v>28930.14</v>
      </c>
      <c r="I6" s="63"/>
      <c r="J6" s="16">
        <f t="shared" si="3"/>
        <v>0</v>
      </c>
      <c r="K6" s="63">
        <f t="shared" si="4"/>
        <v>0</v>
      </c>
      <c r="L6" s="64">
        <f t="shared" si="5"/>
        <v>0</v>
      </c>
      <c r="M6" s="63">
        <f t="shared" si="6"/>
        <v>0</v>
      </c>
      <c r="O6" s="63"/>
      <c r="P6" s="16">
        <f t="shared" si="7"/>
        <v>0</v>
      </c>
      <c r="Q6" s="63">
        <f t="shared" si="8"/>
        <v>0</v>
      </c>
      <c r="R6" s="64">
        <f t="shared" si="9"/>
        <v>0</v>
      </c>
      <c r="S6" s="63">
        <f t="shared" si="10"/>
        <v>0</v>
      </c>
    </row>
    <row r="7" spans="2:19">
      <c r="B7" s="63">
        <v>14794.18</v>
      </c>
      <c r="C7" s="16">
        <f t="shared" si="11"/>
        <v>1775.3016</v>
      </c>
      <c r="D7" s="63">
        <f t="shared" si="0"/>
        <v>1775</v>
      </c>
      <c r="E7" s="64">
        <f t="shared" si="1"/>
        <v>0.30160000000000764</v>
      </c>
      <c r="F7" s="63">
        <f t="shared" si="2"/>
        <v>13019.18</v>
      </c>
      <c r="I7" s="166"/>
      <c r="J7" s="16">
        <f t="shared" si="3"/>
        <v>0</v>
      </c>
      <c r="K7" s="63">
        <f t="shared" si="4"/>
        <v>0</v>
      </c>
      <c r="L7" s="64">
        <f t="shared" si="5"/>
        <v>0</v>
      </c>
      <c r="M7" s="63">
        <f t="shared" si="6"/>
        <v>0</v>
      </c>
      <c r="O7" s="63"/>
      <c r="P7" s="16">
        <f t="shared" si="7"/>
        <v>0</v>
      </c>
      <c r="Q7" s="63">
        <f t="shared" si="8"/>
        <v>0</v>
      </c>
      <c r="R7" s="64">
        <f t="shared" si="9"/>
        <v>0</v>
      </c>
      <c r="S7" s="63">
        <f t="shared" si="10"/>
        <v>0</v>
      </c>
    </row>
    <row r="8" spans="2:19">
      <c r="B8" s="63">
        <v>11744.74</v>
      </c>
      <c r="C8" s="16">
        <f>+B8*12%</f>
        <v>1409.3688</v>
      </c>
      <c r="D8" s="63">
        <f t="shared" si="0"/>
        <v>1409</v>
      </c>
      <c r="E8" s="64">
        <f t="shared" si="1"/>
        <v>0.36879999999996471</v>
      </c>
      <c r="F8" s="63">
        <f t="shared" si="2"/>
        <v>10335.74</v>
      </c>
      <c r="I8" s="63"/>
      <c r="J8" s="16">
        <f t="shared" si="3"/>
        <v>0</v>
      </c>
      <c r="K8" s="63">
        <f t="shared" si="4"/>
        <v>0</v>
      </c>
      <c r="L8" s="64">
        <f t="shared" si="5"/>
        <v>0</v>
      </c>
      <c r="M8" s="63">
        <f t="shared" si="6"/>
        <v>0</v>
      </c>
      <c r="O8" s="63"/>
      <c r="P8" s="16">
        <f t="shared" si="7"/>
        <v>0</v>
      </c>
      <c r="Q8" s="63">
        <f t="shared" si="8"/>
        <v>0</v>
      </c>
      <c r="R8" s="64">
        <f t="shared" si="9"/>
        <v>0</v>
      </c>
      <c r="S8" s="63">
        <f t="shared" si="10"/>
        <v>0</v>
      </c>
    </row>
    <row r="9" spans="2:19">
      <c r="B9" s="63">
        <v>11744.74</v>
      </c>
      <c r="C9" s="16">
        <f t="shared" si="11"/>
        <v>1409.3688</v>
      </c>
      <c r="D9" s="63">
        <f t="shared" si="0"/>
        <v>1409</v>
      </c>
      <c r="E9" s="64">
        <f t="shared" si="1"/>
        <v>0.36879999999996471</v>
      </c>
      <c r="F9" s="63">
        <f t="shared" si="2"/>
        <v>10335.74</v>
      </c>
      <c r="I9" s="63"/>
      <c r="J9" s="16">
        <f t="shared" si="3"/>
        <v>0</v>
      </c>
      <c r="K9" s="63">
        <f t="shared" si="4"/>
        <v>0</v>
      </c>
      <c r="L9" s="64">
        <f t="shared" si="5"/>
        <v>0</v>
      </c>
      <c r="M9" s="63">
        <f t="shared" si="6"/>
        <v>0</v>
      </c>
      <c r="O9" s="63"/>
      <c r="P9" s="16">
        <f t="shared" si="7"/>
        <v>0</v>
      </c>
      <c r="Q9" s="63">
        <f t="shared" si="8"/>
        <v>0</v>
      </c>
      <c r="R9" s="64">
        <f t="shared" si="9"/>
        <v>0</v>
      </c>
      <c r="S9" s="63">
        <f t="shared" si="10"/>
        <v>0</v>
      </c>
    </row>
    <row r="10" spans="2:19">
      <c r="B10" s="63">
        <v>1857.15</v>
      </c>
      <c r="C10" s="16">
        <f t="shared" si="11"/>
        <v>222.858</v>
      </c>
      <c r="D10" s="63">
        <f t="shared" si="0"/>
        <v>223</v>
      </c>
      <c r="E10" s="64">
        <f t="shared" si="1"/>
        <v>-0.14199999999999591</v>
      </c>
      <c r="F10" s="63">
        <f t="shared" si="2"/>
        <v>1634.15</v>
      </c>
      <c r="I10" s="63"/>
      <c r="J10" s="16">
        <f t="shared" si="3"/>
        <v>0</v>
      </c>
      <c r="K10" s="63">
        <f t="shared" si="4"/>
        <v>0</v>
      </c>
      <c r="L10" s="64">
        <f t="shared" si="5"/>
        <v>0</v>
      </c>
      <c r="M10" s="63">
        <f t="shared" si="6"/>
        <v>0</v>
      </c>
      <c r="O10" s="63"/>
      <c r="P10" s="16">
        <f t="shared" si="7"/>
        <v>0</v>
      </c>
      <c r="Q10" s="63">
        <f t="shared" si="8"/>
        <v>0</v>
      </c>
      <c r="R10" s="64">
        <f t="shared" si="9"/>
        <v>0</v>
      </c>
      <c r="S10" s="63">
        <f t="shared" si="10"/>
        <v>0</v>
      </c>
    </row>
    <row r="11" spans="2:19">
      <c r="B11" s="63"/>
      <c r="C11" s="16">
        <f t="shared" si="11"/>
        <v>0</v>
      </c>
      <c r="D11" s="63">
        <f t="shared" si="0"/>
        <v>0</v>
      </c>
      <c r="E11" s="64">
        <f t="shared" si="1"/>
        <v>0</v>
      </c>
      <c r="F11" s="63">
        <f t="shared" si="2"/>
        <v>0</v>
      </c>
      <c r="I11" s="63"/>
      <c r="J11" s="16">
        <f t="shared" si="3"/>
        <v>0</v>
      </c>
      <c r="K11" s="63">
        <f t="shared" si="4"/>
        <v>0</v>
      </c>
      <c r="L11" s="64">
        <f t="shared" si="5"/>
        <v>0</v>
      </c>
      <c r="M11" s="63">
        <f t="shared" si="6"/>
        <v>0</v>
      </c>
      <c r="O11" s="63"/>
      <c r="P11" s="16">
        <f t="shared" si="7"/>
        <v>0</v>
      </c>
      <c r="Q11" s="63">
        <f t="shared" si="8"/>
        <v>0</v>
      </c>
      <c r="R11" s="64">
        <f t="shared" si="9"/>
        <v>0</v>
      </c>
      <c r="S11" s="63">
        <f t="shared" si="10"/>
        <v>0</v>
      </c>
    </row>
    <row r="12" spans="2:19">
      <c r="B12" s="63"/>
      <c r="C12" s="16">
        <f t="shared" si="11"/>
        <v>0</v>
      </c>
      <c r="D12" s="63">
        <f t="shared" si="0"/>
        <v>0</v>
      </c>
      <c r="E12" s="64">
        <f t="shared" si="1"/>
        <v>0</v>
      </c>
      <c r="F12" s="63">
        <f t="shared" si="2"/>
        <v>0</v>
      </c>
      <c r="I12" s="63"/>
      <c r="J12" s="16">
        <f t="shared" si="3"/>
        <v>0</v>
      </c>
      <c r="K12" s="63">
        <f t="shared" si="4"/>
        <v>0</v>
      </c>
      <c r="L12" s="64">
        <f t="shared" si="5"/>
        <v>0</v>
      </c>
      <c r="M12" s="63">
        <f t="shared" si="6"/>
        <v>0</v>
      </c>
      <c r="O12" s="63"/>
      <c r="P12" s="16">
        <f t="shared" si="7"/>
        <v>0</v>
      </c>
      <c r="Q12" s="63">
        <f t="shared" si="8"/>
        <v>0</v>
      </c>
      <c r="R12" s="64">
        <f t="shared" si="9"/>
        <v>0</v>
      </c>
      <c r="S12" s="63">
        <f t="shared" si="10"/>
        <v>0</v>
      </c>
    </row>
    <row r="13" spans="2:19" ht="15" customHeight="1">
      <c r="B13" s="63"/>
      <c r="C13" s="16">
        <f t="shared" si="11"/>
        <v>0</v>
      </c>
      <c r="D13" s="63">
        <f t="shared" si="0"/>
        <v>0</v>
      </c>
      <c r="E13" s="64">
        <f t="shared" si="1"/>
        <v>0</v>
      </c>
      <c r="F13" s="63">
        <f t="shared" si="2"/>
        <v>0</v>
      </c>
      <c r="I13" s="63"/>
      <c r="J13" s="16">
        <f t="shared" si="3"/>
        <v>0</v>
      </c>
      <c r="K13" s="63">
        <f t="shared" si="4"/>
        <v>0</v>
      </c>
      <c r="L13" s="64">
        <f t="shared" si="5"/>
        <v>0</v>
      </c>
      <c r="M13" s="63">
        <f t="shared" si="6"/>
        <v>0</v>
      </c>
      <c r="O13" s="63"/>
      <c r="P13" s="16">
        <f t="shared" si="7"/>
        <v>0</v>
      </c>
      <c r="Q13" s="63">
        <f t="shared" si="8"/>
        <v>0</v>
      </c>
      <c r="R13" s="64">
        <f t="shared" si="9"/>
        <v>0</v>
      </c>
      <c r="S13" s="63">
        <f t="shared" si="10"/>
        <v>0</v>
      </c>
    </row>
    <row r="14" spans="2:19">
      <c r="B14" s="63"/>
      <c r="C14" s="16">
        <f t="shared" si="11"/>
        <v>0</v>
      </c>
      <c r="D14" s="63">
        <f t="shared" si="0"/>
        <v>0</v>
      </c>
      <c r="E14" s="64">
        <f t="shared" si="1"/>
        <v>0</v>
      </c>
      <c r="F14" s="63">
        <f t="shared" si="2"/>
        <v>0</v>
      </c>
      <c r="I14" s="63"/>
      <c r="J14" s="16">
        <f t="shared" si="3"/>
        <v>0</v>
      </c>
      <c r="K14" s="63">
        <f t="shared" si="4"/>
        <v>0</v>
      </c>
      <c r="L14" s="64">
        <f t="shared" si="5"/>
        <v>0</v>
      </c>
      <c r="M14" s="63">
        <f t="shared" si="6"/>
        <v>0</v>
      </c>
      <c r="O14" s="63"/>
      <c r="P14" s="16">
        <f t="shared" si="7"/>
        <v>0</v>
      </c>
      <c r="Q14" s="63">
        <f t="shared" si="8"/>
        <v>0</v>
      </c>
      <c r="R14" s="64">
        <f t="shared" si="9"/>
        <v>0</v>
      </c>
      <c r="S14" s="63">
        <f t="shared" si="10"/>
        <v>0</v>
      </c>
    </row>
    <row r="15" spans="2:19">
      <c r="B15" s="63">
        <v>1609.52</v>
      </c>
      <c r="C15" s="16">
        <f t="shared" si="11"/>
        <v>193.14239999999998</v>
      </c>
      <c r="D15" s="63">
        <f t="shared" si="0"/>
        <v>193</v>
      </c>
      <c r="E15" s="64">
        <f t="shared" si="1"/>
        <v>0.14239999999998076</v>
      </c>
      <c r="F15" s="63">
        <f t="shared" si="2"/>
        <v>1416.52</v>
      </c>
      <c r="I15" s="63"/>
      <c r="J15" s="16">
        <f t="shared" si="3"/>
        <v>0</v>
      </c>
      <c r="K15" s="63">
        <f t="shared" si="4"/>
        <v>0</v>
      </c>
      <c r="L15" s="64">
        <f t="shared" si="5"/>
        <v>0</v>
      </c>
      <c r="M15" s="63">
        <f t="shared" si="6"/>
        <v>0</v>
      </c>
      <c r="O15" s="63"/>
      <c r="P15" s="16">
        <f t="shared" si="7"/>
        <v>0</v>
      </c>
      <c r="Q15" s="63">
        <f t="shared" si="8"/>
        <v>0</v>
      </c>
      <c r="R15" s="64">
        <f t="shared" si="9"/>
        <v>0</v>
      </c>
      <c r="S15" s="63">
        <f t="shared" si="10"/>
        <v>0</v>
      </c>
    </row>
    <row r="16" spans="2:19">
      <c r="B16" s="63">
        <v>1255.52</v>
      </c>
      <c r="C16" s="16">
        <f t="shared" si="11"/>
        <v>150.66239999999999</v>
      </c>
      <c r="D16" s="63">
        <f t="shared" si="0"/>
        <v>151</v>
      </c>
      <c r="E16" s="64">
        <f t="shared" si="1"/>
        <v>-0.337600000000009</v>
      </c>
      <c r="F16" s="63">
        <f t="shared" si="2"/>
        <v>1104.52</v>
      </c>
      <c r="I16" s="63"/>
      <c r="J16" s="16">
        <f t="shared" si="3"/>
        <v>0</v>
      </c>
      <c r="K16" s="63">
        <f t="shared" si="4"/>
        <v>0</v>
      </c>
      <c r="L16" s="64">
        <f t="shared" si="5"/>
        <v>0</v>
      </c>
      <c r="M16" s="63">
        <f t="shared" si="6"/>
        <v>0</v>
      </c>
      <c r="O16" s="63"/>
      <c r="P16" s="16">
        <f t="shared" si="7"/>
        <v>0</v>
      </c>
      <c r="Q16" s="63">
        <f t="shared" si="8"/>
        <v>0</v>
      </c>
      <c r="R16" s="64">
        <f t="shared" si="9"/>
        <v>0</v>
      </c>
      <c r="S16" s="63">
        <f t="shared" si="10"/>
        <v>0</v>
      </c>
    </row>
    <row r="17" spans="2:19">
      <c r="B17" s="63">
        <v>1255.52</v>
      </c>
      <c r="C17" s="16">
        <f t="shared" si="11"/>
        <v>150.66239999999999</v>
      </c>
      <c r="D17" s="63">
        <f t="shared" si="0"/>
        <v>151</v>
      </c>
      <c r="E17" s="64">
        <f t="shared" si="1"/>
        <v>-0.337600000000009</v>
      </c>
      <c r="F17" s="63">
        <f t="shared" si="2"/>
        <v>1104.52</v>
      </c>
      <c r="I17" s="63"/>
      <c r="J17" s="16">
        <f t="shared" si="3"/>
        <v>0</v>
      </c>
      <c r="K17" s="63">
        <f t="shared" si="4"/>
        <v>0</v>
      </c>
      <c r="L17" s="64">
        <f t="shared" si="5"/>
        <v>0</v>
      </c>
      <c r="M17" s="63">
        <f t="shared" si="6"/>
        <v>0</v>
      </c>
      <c r="O17" s="63"/>
      <c r="P17" s="16">
        <f t="shared" si="7"/>
        <v>0</v>
      </c>
      <c r="Q17" s="63">
        <f t="shared" si="8"/>
        <v>0</v>
      </c>
      <c r="R17" s="64">
        <f t="shared" si="9"/>
        <v>0</v>
      </c>
      <c r="S17" s="63">
        <f t="shared" si="10"/>
        <v>0</v>
      </c>
    </row>
    <row r="18" spans="2:19">
      <c r="B18" s="63">
        <v>1417.18</v>
      </c>
      <c r="C18" s="16">
        <f t="shared" si="11"/>
        <v>170.0616</v>
      </c>
      <c r="D18" s="63">
        <f t="shared" si="0"/>
        <v>170</v>
      </c>
      <c r="E18" s="64">
        <f t="shared" si="1"/>
        <v>6.1599999999998545E-2</v>
      </c>
      <c r="F18" s="63">
        <f t="shared" si="2"/>
        <v>1247.18</v>
      </c>
      <c r="I18" s="63"/>
      <c r="J18" s="16">
        <f t="shared" si="3"/>
        <v>0</v>
      </c>
      <c r="K18" s="63">
        <f t="shared" si="4"/>
        <v>0</v>
      </c>
      <c r="L18" s="64">
        <f t="shared" si="5"/>
        <v>0</v>
      </c>
      <c r="M18" s="63">
        <f t="shared" si="6"/>
        <v>0</v>
      </c>
      <c r="O18" s="63"/>
      <c r="P18" s="16">
        <f t="shared" si="7"/>
        <v>0</v>
      </c>
      <c r="Q18" s="63">
        <f t="shared" si="8"/>
        <v>0</v>
      </c>
      <c r="R18" s="64">
        <f t="shared" si="9"/>
        <v>0</v>
      </c>
      <c r="S18" s="63">
        <f t="shared" si="10"/>
        <v>0</v>
      </c>
    </row>
    <row r="19" spans="2:19">
      <c r="B19" s="63">
        <v>1417.18</v>
      </c>
      <c r="C19" s="16">
        <f t="shared" si="11"/>
        <v>170.0616</v>
      </c>
      <c r="D19" s="63">
        <f t="shared" si="0"/>
        <v>170</v>
      </c>
      <c r="E19" s="64">
        <f t="shared" si="1"/>
        <v>6.1599999999998545E-2</v>
      </c>
      <c r="F19" s="63">
        <f t="shared" si="2"/>
        <v>1247.18</v>
      </c>
      <c r="I19" s="63"/>
      <c r="J19" s="16">
        <f t="shared" si="3"/>
        <v>0</v>
      </c>
      <c r="K19" s="63">
        <f t="shared" si="4"/>
        <v>0</v>
      </c>
      <c r="L19" s="64">
        <f t="shared" si="5"/>
        <v>0</v>
      </c>
      <c r="M19" s="63">
        <f t="shared" si="6"/>
        <v>0</v>
      </c>
      <c r="O19" s="63"/>
      <c r="P19" s="16">
        <f t="shared" si="7"/>
        <v>0</v>
      </c>
      <c r="Q19" s="63">
        <f t="shared" si="8"/>
        <v>0</v>
      </c>
      <c r="R19" s="64">
        <f t="shared" si="9"/>
        <v>0</v>
      </c>
      <c r="S19" s="63">
        <f t="shared" si="10"/>
        <v>0</v>
      </c>
    </row>
    <row r="20" spans="2:19">
      <c r="B20" s="63"/>
      <c r="C20" s="16">
        <f t="shared" si="11"/>
        <v>0</v>
      </c>
      <c r="D20" s="63">
        <f t="shared" si="0"/>
        <v>0</v>
      </c>
      <c r="E20" s="64">
        <f t="shared" si="1"/>
        <v>0</v>
      </c>
      <c r="F20" s="63">
        <f t="shared" si="2"/>
        <v>0</v>
      </c>
      <c r="I20" s="63"/>
      <c r="J20" s="16">
        <f t="shared" si="3"/>
        <v>0</v>
      </c>
      <c r="K20" s="63">
        <f t="shared" si="4"/>
        <v>0</v>
      </c>
      <c r="L20" s="64">
        <f t="shared" si="5"/>
        <v>0</v>
      </c>
      <c r="M20" s="63">
        <f t="shared" si="6"/>
        <v>0</v>
      </c>
      <c r="O20" s="63"/>
      <c r="P20" s="16">
        <f t="shared" si="7"/>
        <v>0</v>
      </c>
      <c r="Q20" s="63">
        <f t="shared" si="8"/>
        <v>0</v>
      </c>
      <c r="R20" s="64">
        <f t="shared" si="9"/>
        <v>0</v>
      </c>
      <c r="S20" s="63">
        <f t="shared" si="10"/>
        <v>0</v>
      </c>
    </row>
    <row r="21" spans="2:19">
      <c r="B21" s="63"/>
      <c r="C21" s="16">
        <f t="shared" si="11"/>
        <v>0</v>
      </c>
      <c r="D21" s="63">
        <f t="shared" si="0"/>
        <v>0</v>
      </c>
      <c r="E21" s="64">
        <f t="shared" si="1"/>
        <v>0</v>
      </c>
      <c r="F21" s="63">
        <f t="shared" si="2"/>
        <v>0</v>
      </c>
      <c r="I21" s="63"/>
      <c r="J21" s="16">
        <f t="shared" si="3"/>
        <v>0</v>
      </c>
      <c r="K21" s="63">
        <f t="shared" si="4"/>
        <v>0</v>
      </c>
      <c r="L21" s="64">
        <f t="shared" si="5"/>
        <v>0</v>
      </c>
      <c r="M21" s="63">
        <f t="shared" si="6"/>
        <v>0</v>
      </c>
      <c r="O21" s="63"/>
      <c r="P21" s="16">
        <f t="shared" si="7"/>
        <v>0</v>
      </c>
      <c r="Q21" s="63">
        <f t="shared" si="8"/>
        <v>0</v>
      </c>
      <c r="R21" s="64">
        <f t="shared" si="9"/>
        <v>0</v>
      </c>
      <c r="S21" s="63">
        <f t="shared" si="10"/>
        <v>0</v>
      </c>
    </row>
    <row r="22" spans="2:19">
      <c r="B22" s="63"/>
      <c r="C22" s="16">
        <f t="shared" si="11"/>
        <v>0</v>
      </c>
      <c r="D22" s="63">
        <f t="shared" si="0"/>
        <v>0</v>
      </c>
      <c r="E22" s="64">
        <f t="shared" si="1"/>
        <v>0</v>
      </c>
      <c r="F22" s="63">
        <f t="shared" si="2"/>
        <v>0</v>
      </c>
      <c r="I22" s="63"/>
      <c r="J22" s="16">
        <f t="shared" si="3"/>
        <v>0</v>
      </c>
      <c r="K22" s="63">
        <f t="shared" si="4"/>
        <v>0</v>
      </c>
      <c r="L22" s="64">
        <f t="shared" si="5"/>
        <v>0</v>
      </c>
      <c r="M22" s="63">
        <f t="shared" si="6"/>
        <v>0</v>
      </c>
      <c r="O22" s="63"/>
      <c r="P22" s="16">
        <f t="shared" si="7"/>
        <v>0</v>
      </c>
      <c r="Q22" s="63">
        <f t="shared" si="8"/>
        <v>0</v>
      </c>
      <c r="R22" s="64">
        <f t="shared" si="9"/>
        <v>0</v>
      </c>
      <c r="S22" s="63">
        <f t="shared" si="10"/>
        <v>0</v>
      </c>
    </row>
    <row r="23" spans="2:19">
      <c r="B23" s="63"/>
      <c r="C23" s="16">
        <f t="shared" si="11"/>
        <v>0</v>
      </c>
      <c r="D23" s="63">
        <f t="shared" si="0"/>
        <v>0</v>
      </c>
      <c r="E23" s="64">
        <f t="shared" si="1"/>
        <v>0</v>
      </c>
      <c r="F23" s="63">
        <f t="shared" si="2"/>
        <v>0</v>
      </c>
      <c r="I23" s="63"/>
      <c r="J23" s="16">
        <f t="shared" si="3"/>
        <v>0</v>
      </c>
      <c r="K23" s="63">
        <f t="shared" si="4"/>
        <v>0</v>
      </c>
      <c r="L23" s="64">
        <f t="shared" si="5"/>
        <v>0</v>
      </c>
      <c r="M23" s="63">
        <f t="shared" si="6"/>
        <v>0</v>
      </c>
      <c r="O23" s="63"/>
      <c r="P23" s="16">
        <f t="shared" si="7"/>
        <v>0</v>
      </c>
      <c r="Q23" s="63">
        <f t="shared" si="8"/>
        <v>0</v>
      </c>
      <c r="R23" s="64">
        <f t="shared" si="9"/>
        <v>0</v>
      </c>
      <c r="S23" s="63">
        <f t="shared" si="10"/>
        <v>0</v>
      </c>
    </row>
    <row r="24" spans="2:19">
      <c r="B24" s="63"/>
      <c r="C24" s="16">
        <f t="shared" si="11"/>
        <v>0</v>
      </c>
      <c r="D24" s="63">
        <f t="shared" si="0"/>
        <v>0</v>
      </c>
      <c r="E24" s="64">
        <f t="shared" si="1"/>
        <v>0</v>
      </c>
      <c r="F24" s="63">
        <f t="shared" si="2"/>
        <v>0</v>
      </c>
      <c r="I24" s="63"/>
      <c r="J24" s="16">
        <f t="shared" si="3"/>
        <v>0</v>
      </c>
      <c r="K24" s="63">
        <f t="shared" si="4"/>
        <v>0</v>
      </c>
      <c r="L24" s="64">
        <f t="shared" si="5"/>
        <v>0</v>
      </c>
      <c r="M24" s="63">
        <f t="shared" si="6"/>
        <v>0</v>
      </c>
      <c r="O24" s="63"/>
      <c r="P24" s="16">
        <f t="shared" si="7"/>
        <v>0</v>
      </c>
      <c r="Q24" s="63">
        <f t="shared" si="8"/>
        <v>0</v>
      </c>
      <c r="R24" s="64">
        <f t="shared" si="9"/>
        <v>0</v>
      </c>
      <c r="S24" s="63">
        <f t="shared" si="10"/>
        <v>0</v>
      </c>
    </row>
    <row r="25" spans="2:19">
      <c r="B25" s="63"/>
      <c r="C25" s="16">
        <f t="shared" si="11"/>
        <v>0</v>
      </c>
      <c r="D25" s="63">
        <f t="shared" si="0"/>
        <v>0</v>
      </c>
      <c r="E25" s="64">
        <f t="shared" si="1"/>
        <v>0</v>
      </c>
      <c r="F25" s="63">
        <f t="shared" si="2"/>
        <v>0</v>
      </c>
      <c r="I25" s="63"/>
      <c r="J25" s="16">
        <f t="shared" si="3"/>
        <v>0</v>
      </c>
      <c r="K25" s="63">
        <f t="shared" si="4"/>
        <v>0</v>
      </c>
      <c r="L25" s="64">
        <f t="shared" si="5"/>
        <v>0</v>
      </c>
      <c r="M25" s="63">
        <f t="shared" si="6"/>
        <v>0</v>
      </c>
      <c r="O25" s="63"/>
      <c r="P25" s="16">
        <f t="shared" si="7"/>
        <v>0</v>
      </c>
      <c r="Q25" s="63">
        <f t="shared" si="8"/>
        <v>0</v>
      </c>
      <c r="R25" s="64">
        <f t="shared" si="9"/>
        <v>0</v>
      </c>
      <c r="S25" s="63">
        <f t="shared" si="10"/>
        <v>0</v>
      </c>
    </row>
    <row r="26" spans="2:19">
      <c r="B26" s="63"/>
      <c r="C26" s="16">
        <f t="shared" si="11"/>
        <v>0</v>
      </c>
      <c r="D26" s="63">
        <f t="shared" si="0"/>
        <v>0</v>
      </c>
      <c r="E26" s="64">
        <f t="shared" si="1"/>
        <v>0</v>
      </c>
      <c r="F26" s="63">
        <f t="shared" si="2"/>
        <v>0</v>
      </c>
      <c r="I26" s="63"/>
      <c r="J26" s="16">
        <f t="shared" si="3"/>
        <v>0</v>
      </c>
      <c r="K26" s="63">
        <f t="shared" si="4"/>
        <v>0</v>
      </c>
      <c r="L26" s="64">
        <f t="shared" si="5"/>
        <v>0</v>
      </c>
      <c r="M26" s="63">
        <f t="shared" si="6"/>
        <v>0</v>
      </c>
      <c r="O26" s="63"/>
      <c r="P26" s="16">
        <f t="shared" si="7"/>
        <v>0</v>
      </c>
      <c r="Q26" s="63">
        <f t="shared" si="8"/>
        <v>0</v>
      </c>
      <c r="R26" s="64">
        <f t="shared" si="9"/>
        <v>0</v>
      </c>
      <c r="S26" s="63">
        <f t="shared" si="10"/>
        <v>0</v>
      </c>
    </row>
    <row r="27" spans="2:19">
      <c r="M27">
        <v>39856.71</v>
      </c>
    </row>
    <row r="28" spans="2:19">
      <c r="E28" s="9"/>
    </row>
    <row r="29" spans="2:19">
      <c r="C29" s="66"/>
      <c r="E29" s="98"/>
      <c r="F29" s="99"/>
      <c r="G29" s="99"/>
      <c r="H29" s="99"/>
      <c r="I29" s="98"/>
    </row>
    <row r="30" spans="2:19">
      <c r="B30" s="57">
        <v>885.54</v>
      </c>
      <c r="C30">
        <v>811.65</v>
      </c>
      <c r="D30" s="57">
        <v>642740.18999999994</v>
      </c>
      <c r="E30" s="98">
        <v>903755.53</v>
      </c>
      <c r="F30" s="99"/>
      <c r="G30" s="99"/>
      <c r="H30" s="99"/>
      <c r="I30" s="98"/>
    </row>
    <row r="31" spans="2:19">
      <c r="B31" s="57">
        <v>106</v>
      </c>
      <c r="C31" s="66">
        <f>+C30*0.12</f>
        <v>97.397999999999996</v>
      </c>
      <c r="D31" s="57">
        <v>87646</v>
      </c>
      <c r="E31" s="98">
        <f>+E30*0.12</f>
        <v>108450.6636</v>
      </c>
      <c r="F31" s="99">
        <v>108451</v>
      </c>
      <c r="G31" s="99"/>
      <c r="H31" s="99"/>
      <c r="I31" s="98">
        <v>3.43</v>
      </c>
    </row>
    <row r="32" spans="2:19">
      <c r="B32" s="57">
        <f>+B30-B31</f>
        <v>779.54</v>
      </c>
      <c r="D32" s="57">
        <f>+D31+D30</f>
        <v>730386.19</v>
      </c>
      <c r="E32" s="98">
        <f>+E30-E31</f>
        <v>795304.86640000006</v>
      </c>
      <c r="F32" s="57">
        <f>+E30-F31</f>
        <v>795304.53</v>
      </c>
      <c r="I32">
        <v>531</v>
      </c>
      <c r="J32">
        <f>+ROUND($I$31*I32,2)</f>
        <v>1821.33</v>
      </c>
      <c r="K32">
        <f>+J32*0.12</f>
        <v>218.55959999999999</v>
      </c>
      <c r="L32">
        <f>+I32*0.12</f>
        <v>63.72</v>
      </c>
      <c r="M32">
        <f>+J32-219</f>
        <v>1602.33</v>
      </c>
    </row>
    <row r="33" spans="2:13">
      <c r="I33">
        <v>678.5</v>
      </c>
      <c r="J33">
        <f t="shared" ref="J33:J34" si="12">+ROUND($I$31*I33,2)</f>
        <v>2327.2600000000002</v>
      </c>
      <c r="K33">
        <f>+J33*0.12</f>
        <v>279.27120000000002</v>
      </c>
      <c r="L33">
        <f>+I33*0.12</f>
        <v>81.42</v>
      </c>
      <c r="M33">
        <f>+J33-279</f>
        <v>2048.2600000000002</v>
      </c>
    </row>
    <row r="34" spans="2:13">
      <c r="C34">
        <v>152130</v>
      </c>
      <c r="D34" s="57">
        <v>364</v>
      </c>
      <c r="I34" s="98">
        <v>531</v>
      </c>
      <c r="J34">
        <f t="shared" si="12"/>
        <v>1821.33</v>
      </c>
      <c r="M34">
        <f>+J34-219</f>
        <v>1602.33</v>
      </c>
    </row>
    <row r="35" spans="2:13">
      <c r="C35" s="66">
        <v>1115621.33</v>
      </c>
      <c r="D35" s="57">
        <v>2672.69</v>
      </c>
      <c r="E35" s="97"/>
    </row>
    <row r="36" spans="2:13">
      <c r="C36" s="66">
        <f>+C35+C34</f>
        <v>1267751.33</v>
      </c>
      <c r="D36" s="57">
        <f>+D35+D34</f>
        <v>3036.69</v>
      </c>
    </row>
    <row r="37" spans="2:13">
      <c r="B37" s="57">
        <v>222</v>
      </c>
      <c r="C37" s="66"/>
    </row>
    <row r="38" spans="2:13">
      <c r="B38" s="57">
        <f>+B37*3.717</f>
        <v>825.17399999999998</v>
      </c>
    </row>
    <row r="40" spans="2:13">
      <c r="F40" s="57">
        <v>7165</v>
      </c>
    </row>
    <row r="41" spans="2:13">
      <c r="B41" s="57">
        <v>1853.78</v>
      </c>
      <c r="C41">
        <v>803.43</v>
      </c>
      <c r="D41" s="57">
        <f>+C41</f>
        <v>803.43</v>
      </c>
      <c r="F41" s="57">
        <v>4000</v>
      </c>
    </row>
    <row r="42" spans="2:13">
      <c r="B42" s="57">
        <f>+B41*3.717</f>
        <v>6890.5002599999998</v>
      </c>
      <c r="C42">
        <v>417.33</v>
      </c>
      <c r="D42" s="57">
        <f>+C42-54.25</f>
        <v>363.08</v>
      </c>
      <c r="F42" s="57">
        <f>+F40-F41</f>
        <v>3165</v>
      </c>
    </row>
    <row r="43" spans="2:13">
      <c r="C43">
        <v>834.66</v>
      </c>
      <c r="D43" s="57">
        <f>+C43+C44</f>
        <v>909.78</v>
      </c>
    </row>
    <row r="44" spans="2:13">
      <c r="C44">
        <v>75.12</v>
      </c>
      <c r="D44" s="57">
        <f>SUM(D41:D43)</f>
        <v>2076.29</v>
      </c>
      <c r="E44">
        <v>2075.62</v>
      </c>
    </row>
    <row r="45" spans="2:13">
      <c r="C45">
        <f>SUM(C41:C44)</f>
        <v>2130.54</v>
      </c>
      <c r="E45" s="97">
        <f>+D44-E44</f>
        <v>0.67000000000007276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F885-27D1-40E5-A023-6710BDF9C274}">
  <dimension ref="A1:L288"/>
  <sheetViews>
    <sheetView zoomScale="55" zoomScaleNormal="55" workbookViewId="0">
      <selection activeCell="C68" sqref="C68"/>
    </sheetView>
  </sheetViews>
  <sheetFormatPr baseColWidth="10" defaultColWidth="11.44140625" defaultRowHeight="14.4"/>
  <sheetData>
    <row r="1" spans="1:12" s="211" customFormat="1" ht="15.6">
      <c r="A1" s="211" t="s">
        <v>350</v>
      </c>
      <c r="K1" s="269"/>
      <c r="L1" s="211" t="s">
        <v>64</v>
      </c>
    </row>
    <row r="2" spans="1:12">
      <c r="K2" s="268"/>
    </row>
    <row r="3" spans="1:12">
      <c r="E3" s="194"/>
      <c r="F3" s="194"/>
      <c r="K3" s="268"/>
    </row>
    <row r="4" spans="1:12">
      <c r="E4" s="194"/>
      <c r="F4" s="194"/>
      <c r="K4" s="268"/>
    </row>
    <row r="5" spans="1:12">
      <c r="E5" s="194"/>
      <c r="F5" s="194"/>
      <c r="K5" s="268"/>
    </row>
    <row r="6" spans="1:12">
      <c r="F6" s="195"/>
      <c r="K6" s="268"/>
    </row>
    <row r="7" spans="1:12">
      <c r="K7" s="268"/>
    </row>
    <row r="8" spans="1:12">
      <c r="K8" s="268"/>
    </row>
    <row r="9" spans="1:12">
      <c r="K9" s="268"/>
    </row>
    <row r="10" spans="1:12">
      <c r="K10" s="268"/>
    </row>
    <row r="11" spans="1:12">
      <c r="K11" s="268"/>
    </row>
    <row r="12" spans="1:12">
      <c r="K12" s="268"/>
    </row>
    <row r="13" spans="1:12">
      <c r="K13" s="268"/>
    </row>
    <row r="14" spans="1:12">
      <c r="K14" s="268"/>
    </row>
    <row r="15" spans="1:12">
      <c r="K15" s="268"/>
    </row>
    <row r="16" spans="1:12">
      <c r="K16" s="268"/>
    </row>
    <row r="17" spans="11:11">
      <c r="K17" s="268"/>
    </row>
    <row r="18" spans="11:11">
      <c r="K18" s="268"/>
    </row>
    <row r="19" spans="11:11">
      <c r="K19" s="268"/>
    </row>
    <row r="20" spans="11:11">
      <c r="K20" s="268"/>
    </row>
    <row r="21" spans="11:11">
      <c r="K21" s="268"/>
    </row>
    <row r="22" spans="11:11">
      <c r="K22" s="268"/>
    </row>
    <row r="23" spans="11:11">
      <c r="K23" s="268"/>
    </row>
    <row r="24" spans="11:11">
      <c r="K24" s="268"/>
    </row>
    <row r="25" spans="11:11">
      <c r="K25" s="268"/>
    </row>
    <row r="26" spans="11:11">
      <c r="K26" s="268"/>
    </row>
    <row r="27" spans="11:11">
      <c r="K27" s="268"/>
    </row>
    <row r="28" spans="11:11">
      <c r="K28" s="268"/>
    </row>
    <row r="29" spans="11:11">
      <c r="K29" s="268"/>
    </row>
    <row r="30" spans="11:11">
      <c r="K30" s="268"/>
    </row>
    <row r="31" spans="11:11">
      <c r="K31" s="268"/>
    </row>
    <row r="32" spans="11:11">
      <c r="K32" s="268"/>
    </row>
    <row r="33" spans="11:11">
      <c r="K33" s="268"/>
    </row>
    <row r="34" spans="11:11">
      <c r="K34" s="268"/>
    </row>
    <row r="35" spans="11:11">
      <c r="K35" s="268"/>
    </row>
    <row r="36" spans="11:11">
      <c r="K36" s="268"/>
    </row>
    <row r="37" spans="11:11">
      <c r="K37" s="268"/>
    </row>
    <row r="38" spans="11:11">
      <c r="K38" s="268"/>
    </row>
    <row r="39" spans="11:11">
      <c r="K39" s="268"/>
    </row>
    <row r="40" spans="11:11">
      <c r="K40" s="268"/>
    </row>
    <row r="41" spans="11:11">
      <c r="K41" s="268"/>
    </row>
    <row r="42" spans="11:11">
      <c r="K42" s="268"/>
    </row>
    <row r="43" spans="11:11">
      <c r="K43" s="268"/>
    </row>
    <row r="44" spans="11:11">
      <c r="K44" s="268"/>
    </row>
    <row r="45" spans="11:11">
      <c r="K45" s="268"/>
    </row>
    <row r="46" spans="11:11">
      <c r="K46" s="268"/>
    </row>
    <row r="47" spans="11:11">
      <c r="K47" s="268"/>
    </row>
    <row r="48" spans="11:11">
      <c r="K48" s="268"/>
    </row>
    <row r="49" spans="11:11">
      <c r="K49" s="268"/>
    </row>
    <row r="50" spans="11:11">
      <c r="K50" s="268"/>
    </row>
    <row r="51" spans="11:11">
      <c r="K51" s="268"/>
    </row>
    <row r="52" spans="11:11">
      <c r="K52" s="268"/>
    </row>
    <row r="53" spans="11:11">
      <c r="K53" s="268"/>
    </row>
    <row r="54" spans="11:11">
      <c r="K54" s="268"/>
    </row>
    <row r="55" spans="11:11">
      <c r="K55" s="268"/>
    </row>
    <row r="56" spans="11:11">
      <c r="K56" s="268"/>
    </row>
    <row r="57" spans="11:11">
      <c r="K57" s="268"/>
    </row>
    <row r="58" spans="11:11">
      <c r="K58" s="268"/>
    </row>
    <row r="59" spans="11:11">
      <c r="K59" s="268"/>
    </row>
    <row r="60" spans="11:11">
      <c r="K60" s="268"/>
    </row>
    <row r="61" spans="11:11">
      <c r="K61" s="268"/>
    </row>
    <row r="62" spans="11:11">
      <c r="K62" s="268"/>
    </row>
    <row r="63" spans="11:11">
      <c r="K63" s="268"/>
    </row>
    <row r="64" spans="11:11">
      <c r="K64" s="268"/>
    </row>
    <row r="65" spans="11:11">
      <c r="K65" s="268"/>
    </row>
    <row r="66" spans="11:11">
      <c r="K66" s="268"/>
    </row>
    <row r="67" spans="11:11">
      <c r="K67" s="268"/>
    </row>
    <row r="68" spans="11:11">
      <c r="K68" s="268"/>
    </row>
    <row r="69" spans="11:11">
      <c r="K69" s="268"/>
    </row>
    <row r="70" spans="11:11">
      <c r="K70" s="268"/>
    </row>
    <row r="71" spans="11:11">
      <c r="K71" s="268"/>
    </row>
    <row r="72" spans="11:11">
      <c r="K72" s="268"/>
    </row>
    <row r="73" spans="11:11">
      <c r="K73" s="268"/>
    </row>
    <row r="74" spans="11:11">
      <c r="K74" s="268"/>
    </row>
    <row r="75" spans="11:11">
      <c r="K75" s="268"/>
    </row>
    <row r="76" spans="11:11">
      <c r="K76" s="268"/>
    </row>
    <row r="77" spans="11:11">
      <c r="K77" s="268"/>
    </row>
    <row r="78" spans="11:11">
      <c r="K78" s="268"/>
    </row>
    <row r="79" spans="11:11">
      <c r="K79" s="268"/>
    </row>
    <row r="80" spans="11:11">
      <c r="K80" s="268"/>
    </row>
    <row r="81" spans="11:11">
      <c r="K81" s="268"/>
    </row>
    <row r="82" spans="11:11">
      <c r="K82" s="268"/>
    </row>
    <row r="83" spans="11:11">
      <c r="K83" s="268"/>
    </row>
    <row r="84" spans="11:11">
      <c r="K84" s="268"/>
    </row>
    <row r="85" spans="11:11">
      <c r="K85" s="268"/>
    </row>
    <row r="86" spans="11:11">
      <c r="K86" s="268"/>
    </row>
    <row r="87" spans="11:11">
      <c r="K87" s="268"/>
    </row>
    <row r="88" spans="11:11">
      <c r="K88" s="268"/>
    </row>
    <row r="89" spans="11:11">
      <c r="K89" s="268"/>
    </row>
    <row r="90" spans="11:11">
      <c r="K90" s="268"/>
    </row>
    <row r="91" spans="11:11">
      <c r="K91" s="268"/>
    </row>
    <row r="92" spans="11:11">
      <c r="K92" s="268"/>
    </row>
    <row r="93" spans="11:11">
      <c r="K93" s="268"/>
    </row>
    <row r="94" spans="11:11">
      <c r="K94" s="268"/>
    </row>
    <row r="95" spans="11:11">
      <c r="K95" s="268"/>
    </row>
    <row r="96" spans="11:11">
      <c r="K96" s="268"/>
    </row>
    <row r="97" spans="11:11">
      <c r="K97" s="268"/>
    </row>
    <row r="98" spans="11:11">
      <c r="K98" s="268"/>
    </row>
    <row r="99" spans="11:11">
      <c r="K99" s="268"/>
    </row>
    <row r="100" spans="11:11">
      <c r="K100" s="268"/>
    </row>
    <row r="101" spans="11:11">
      <c r="K101" s="268"/>
    </row>
    <row r="102" spans="11:11">
      <c r="K102" s="268"/>
    </row>
    <row r="103" spans="11:11">
      <c r="K103" s="268"/>
    </row>
    <row r="104" spans="11:11">
      <c r="K104" s="268"/>
    </row>
    <row r="105" spans="11:11">
      <c r="K105" s="268"/>
    </row>
    <row r="106" spans="11:11">
      <c r="K106" s="268"/>
    </row>
    <row r="107" spans="11:11">
      <c r="K107" s="268"/>
    </row>
    <row r="108" spans="11:11">
      <c r="K108" s="268"/>
    </row>
    <row r="109" spans="11:11">
      <c r="K109" s="268"/>
    </row>
    <row r="110" spans="11:11">
      <c r="K110" s="268"/>
    </row>
    <row r="111" spans="11:11">
      <c r="K111" s="268"/>
    </row>
    <row r="112" spans="11:11">
      <c r="K112" s="268"/>
    </row>
    <row r="113" spans="11:11">
      <c r="K113" s="268"/>
    </row>
    <row r="114" spans="11:11">
      <c r="K114" s="268"/>
    </row>
    <row r="115" spans="11:11">
      <c r="K115" s="268"/>
    </row>
    <row r="116" spans="11:11">
      <c r="K116" s="268"/>
    </row>
    <row r="117" spans="11:11">
      <c r="K117" s="268"/>
    </row>
    <row r="118" spans="11:11">
      <c r="K118" s="268"/>
    </row>
    <row r="119" spans="11:11">
      <c r="K119" s="268"/>
    </row>
    <row r="120" spans="11:11">
      <c r="K120" s="268"/>
    </row>
    <row r="121" spans="11:11">
      <c r="K121" s="268"/>
    </row>
    <row r="122" spans="11:11">
      <c r="K122" s="268"/>
    </row>
    <row r="123" spans="11:11">
      <c r="K123" s="268"/>
    </row>
    <row r="124" spans="11:11">
      <c r="K124" s="268"/>
    </row>
    <row r="125" spans="11:11">
      <c r="K125" s="268"/>
    </row>
    <row r="126" spans="11:11">
      <c r="K126" s="268"/>
    </row>
    <row r="127" spans="11:11">
      <c r="K127" s="268"/>
    </row>
    <row r="128" spans="11:11">
      <c r="K128" s="268"/>
    </row>
    <row r="129" spans="11:11">
      <c r="K129" s="268"/>
    </row>
    <row r="130" spans="11:11">
      <c r="K130" s="268"/>
    </row>
    <row r="131" spans="11:11">
      <c r="K131" s="268"/>
    </row>
    <row r="132" spans="11:11">
      <c r="K132" s="268"/>
    </row>
    <row r="133" spans="11:11">
      <c r="K133" s="268"/>
    </row>
    <row r="134" spans="11:11">
      <c r="K134" s="268"/>
    </row>
    <row r="135" spans="11:11">
      <c r="K135" s="268"/>
    </row>
    <row r="136" spans="11:11">
      <c r="K136" s="268"/>
    </row>
    <row r="137" spans="11:11">
      <c r="K137" s="268"/>
    </row>
    <row r="138" spans="11:11">
      <c r="K138" s="268"/>
    </row>
    <row r="139" spans="11:11">
      <c r="K139" s="268"/>
    </row>
    <row r="140" spans="11:11">
      <c r="K140" s="268"/>
    </row>
    <row r="141" spans="11:11">
      <c r="K141" s="268"/>
    </row>
    <row r="142" spans="11:11">
      <c r="K142" s="268"/>
    </row>
    <row r="143" spans="11:11">
      <c r="K143" s="268"/>
    </row>
    <row r="144" spans="11:11">
      <c r="K144" s="268"/>
    </row>
    <row r="145" spans="11:11">
      <c r="K145" s="268"/>
    </row>
    <row r="146" spans="11:11">
      <c r="K146" s="268"/>
    </row>
    <row r="147" spans="11:11">
      <c r="K147" s="268"/>
    </row>
    <row r="148" spans="11:11">
      <c r="K148" s="268"/>
    </row>
    <row r="149" spans="11:11">
      <c r="K149" s="268"/>
    </row>
    <row r="150" spans="11:11">
      <c r="K150" s="268"/>
    </row>
    <row r="151" spans="11:11">
      <c r="K151" s="268"/>
    </row>
    <row r="152" spans="11:11">
      <c r="K152" s="268"/>
    </row>
    <row r="153" spans="11:11">
      <c r="K153" s="268"/>
    </row>
    <row r="154" spans="11:11">
      <c r="K154" s="268"/>
    </row>
    <row r="155" spans="11:11">
      <c r="K155" s="268"/>
    </row>
    <row r="156" spans="11:11">
      <c r="K156" s="268"/>
    </row>
    <row r="157" spans="11:11">
      <c r="K157" s="268"/>
    </row>
    <row r="158" spans="11:11">
      <c r="K158" s="268"/>
    </row>
    <row r="159" spans="11:11">
      <c r="K159" s="268"/>
    </row>
    <row r="160" spans="11:11">
      <c r="K160" s="268"/>
    </row>
    <row r="161" spans="11:11">
      <c r="K161" s="268"/>
    </row>
    <row r="162" spans="11:11">
      <c r="K162" s="268"/>
    </row>
    <row r="163" spans="11:11">
      <c r="K163" s="268"/>
    </row>
    <row r="164" spans="11:11">
      <c r="K164" s="268"/>
    </row>
    <row r="165" spans="11:11">
      <c r="K165" s="268"/>
    </row>
    <row r="166" spans="11:11">
      <c r="K166" s="268"/>
    </row>
    <row r="167" spans="11:11">
      <c r="K167" s="268"/>
    </row>
    <row r="168" spans="11:11">
      <c r="K168" s="268"/>
    </row>
    <row r="169" spans="11:11">
      <c r="K169" s="268"/>
    </row>
    <row r="170" spans="11:11">
      <c r="K170" s="268"/>
    </row>
    <row r="171" spans="11:11">
      <c r="K171" s="268"/>
    </row>
    <row r="172" spans="11:11">
      <c r="K172" s="268"/>
    </row>
    <row r="173" spans="11:11">
      <c r="K173" s="268"/>
    </row>
    <row r="174" spans="11:11">
      <c r="K174" s="268"/>
    </row>
    <row r="175" spans="11:11">
      <c r="K175" s="268"/>
    </row>
    <row r="176" spans="11:11">
      <c r="K176" s="268"/>
    </row>
    <row r="177" spans="11:11">
      <c r="K177" s="268"/>
    </row>
    <row r="178" spans="11:11">
      <c r="K178" s="268"/>
    </row>
    <row r="179" spans="11:11">
      <c r="K179" s="268"/>
    </row>
    <row r="180" spans="11:11">
      <c r="K180" s="268"/>
    </row>
    <row r="181" spans="11:11">
      <c r="K181" s="268"/>
    </row>
    <row r="182" spans="11:11">
      <c r="K182" s="268"/>
    </row>
    <row r="183" spans="11:11">
      <c r="K183" s="268"/>
    </row>
    <row r="184" spans="11:11">
      <c r="K184" s="268"/>
    </row>
    <row r="185" spans="11:11">
      <c r="K185" s="268"/>
    </row>
    <row r="186" spans="11:11">
      <c r="K186" s="268"/>
    </row>
    <row r="187" spans="11:11">
      <c r="K187" s="268"/>
    </row>
    <row r="188" spans="11:11">
      <c r="K188" s="268"/>
    </row>
    <row r="189" spans="11:11">
      <c r="K189" s="268"/>
    </row>
    <row r="190" spans="11:11">
      <c r="K190" s="268"/>
    </row>
    <row r="191" spans="11:11">
      <c r="K191" s="268"/>
    </row>
    <row r="192" spans="11:11">
      <c r="K192" s="268"/>
    </row>
    <row r="193" spans="11:11">
      <c r="K193" s="268"/>
    </row>
    <row r="194" spans="11:11">
      <c r="K194" s="268"/>
    </row>
    <row r="195" spans="11:11">
      <c r="K195" s="268"/>
    </row>
    <row r="196" spans="11:11">
      <c r="K196" s="268"/>
    </row>
    <row r="197" spans="11:11">
      <c r="K197" s="268"/>
    </row>
    <row r="198" spans="11:11">
      <c r="K198" s="268"/>
    </row>
    <row r="199" spans="11:11">
      <c r="K199" s="268"/>
    </row>
    <row r="200" spans="11:11">
      <c r="K200" s="268"/>
    </row>
    <row r="201" spans="11:11">
      <c r="K201" s="268"/>
    </row>
    <row r="202" spans="11:11">
      <c r="K202" s="268"/>
    </row>
    <row r="203" spans="11:11">
      <c r="K203" s="268"/>
    </row>
    <row r="204" spans="11:11">
      <c r="K204" s="268"/>
    </row>
    <row r="205" spans="11:11">
      <c r="K205" s="268"/>
    </row>
    <row r="206" spans="11:11">
      <c r="K206" s="268"/>
    </row>
    <row r="207" spans="11:11">
      <c r="K207" s="268"/>
    </row>
    <row r="208" spans="11:11">
      <c r="K208" s="268"/>
    </row>
    <row r="209" spans="11:11">
      <c r="K209" s="268"/>
    </row>
    <row r="210" spans="11:11">
      <c r="K210" s="268"/>
    </row>
    <row r="211" spans="11:11">
      <c r="K211" s="268"/>
    </row>
    <row r="212" spans="11:11">
      <c r="K212" s="268"/>
    </row>
    <row r="213" spans="11:11">
      <c r="K213" s="268"/>
    </row>
    <row r="214" spans="11:11">
      <c r="K214" s="268"/>
    </row>
    <row r="215" spans="11:11">
      <c r="K215" s="268"/>
    </row>
    <row r="216" spans="11:11">
      <c r="K216" s="268"/>
    </row>
    <row r="217" spans="11:11">
      <c r="K217" s="268"/>
    </row>
    <row r="218" spans="11:11">
      <c r="K218" s="268"/>
    </row>
    <row r="219" spans="11:11">
      <c r="K219" s="268"/>
    </row>
    <row r="220" spans="11:11">
      <c r="K220" s="268"/>
    </row>
    <row r="221" spans="11:11">
      <c r="K221" s="268"/>
    </row>
    <row r="222" spans="11:11">
      <c r="K222" s="268"/>
    </row>
    <row r="223" spans="11:11">
      <c r="K223" s="268"/>
    </row>
    <row r="224" spans="11:11">
      <c r="K224" s="268"/>
    </row>
    <row r="225" spans="11:11">
      <c r="K225" s="268"/>
    </row>
    <row r="226" spans="11:11">
      <c r="K226" s="268"/>
    </row>
    <row r="227" spans="11:11">
      <c r="K227" s="268"/>
    </row>
    <row r="228" spans="11:11">
      <c r="K228" s="268"/>
    </row>
    <row r="229" spans="11:11">
      <c r="K229" s="268"/>
    </row>
    <row r="230" spans="11:11">
      <c r="K230" s="268"/>
    </row>
    <row r="231" spans="11:11">
      <c r="K231" s="268"/>
    </row>
    <row r="232" spans="11:11">
      <c r="K232" s="268"/>
    </row>
    <row r="233" spans="11:11">
      <c r="K233" s="268"/>
    </row>
    <row r="234" spans="11:11">
      <c r="K234" s="268"/>
    </row>
    <row r="235" spans="11:11">
      <c r="K235" s="268"/>
    </row>
    <row r="236" spans="11:11">
      <c r="K236" s="268"/>
    </row>
    <row r="237" spans="11:11">
      <c r="K237" s="268"/>
    </row>
    <row r="238" spans="11:11">
      <c r="K238" s="268"/>
    </row>
    <row r="239" spans="11:11">
      <c r="K239" s="268"/>
    </row>
    <row r="240" spans="11:11">
      <c r="K240" s="268"/>
    </row>
    <row r="241" spans="11:11">
      <c r="K241" s="268"/>
    </row>
    <row r="242" spans="11:11">
      <c r="K242" s="268"/>
    </row>
    <row r="243" spans="11:11">
      <c r="K243" s="268"/>
    </row>
    <row r="244" spans="11:11">
      <c r="K244" s="268"/>
    </row>
    <row r="245" spans="11:11">
      <c r="K245" s="268"/>
    </row>
    <row r="246" spans="11:11">
      <c r="K246" s="268"/>
    </row>
    <row r="247" spans="11:11">
      <c r="K247" s="268"/>
    </row>
    <row r="248" spans="11:11">
      <c r="K248" s="268"/>
    </row>
    <row r="249" spans="11:11">
      <c r="K249" s="268"/>
    </row>
    <row r="250" spans="11:11">
      <c r="K250" s="268"/>
    </row>
    <row r="251" spans="11:11">
      <c r="K251" s="268"/>
    </row>
    <row r="252" spans="11:11">
      <c r="K252" s="268"/>
    </row>
    <row r="253" spans="11:11">
      <c r="K253" s="268"/>
    </row>
    <row r="254" spans="11:11">
      <c r="K254" s="268"/>
    </row>
    <row r="255" spans="11:11">
      <c r="K255" s="268"/>
    </row>
    <row r="256" spans="11:11">
      <c r="K256" s="268"/>
    </row>
    <row r="257" spans="11:11">
      <c r="K257" s="268"/>
    </row>
    <row r="258" spans="11:11">
      <c r="K258" s="268"/>
    </row>
    <row r="259" spans="11:11">
      <c r="K259" s="268"/>
    </row>
    <row r="260" spans="11:11">
      <c r="K260" s="268"/>
    </row>
    <row r="261" spans="11:11">
      <c r="K261" s="268"/>
    </row>
    <row r="262" spans="11:11">
      <c r="K262" s="268"/>
    </row>
    <row r="263" spans="11:11">
      <c r="K263" s="268"/>
    </row>
    <row r="264" spans="11:11">
      <c r="K264" s="268"/>
    </row>
    <row r="265" spans="11:11">
      <c r="K265" s="268"/>
    </row>
    <row r="266" spans="11:11">
      <c r="K266" s="268"/>
    </row>
    <row r="267" spans="11:11">
      <c r="K267" s="268"/>
    </row>
    <row r="268" spans="11:11">
      <c r="K268" s="268"/>
    </row>
    <row r="269" spans="11:11">
      <c r="K269" s="268"/>
    </row>
    <row r="270" spans="11:11">
      <c r="K270" s="268"/>
    </row>
    <row r="271" spans="11:11">
      <c r="K271" s="268"/>
    </row>
    <row r="272" spans="11:11">
      <c r="K272" s="268"/>
    </row>
    <row r="273" spans="11:11">
      <c r="K273" s="268"/>
    </row>
    <row r="274" spans="11:11">
      <c r="K274" s="268"/>
    </row>
    <row r="275" spans="11:11">
      <c r="K275" s="268"/>
    </row>
    <row r="276" spans="11:11">
      <c r="K276" s="268"/>
    </row>
    <row r="277" spans="11:11">
      <c r="K277" s="268"/>
    </row>
    <row r="278" spans="11:11">
      <c r="K278" s="268"/>
    </row>
    <row r="279" spans="11:11">
      <c r="K279" s="268"/>
    </row>
    <row r="280" spans="11:11">
      <c r="K280" s="268"/>
    </row>
    <row r="281" spans="11:11">
      <c r="K281" s="268"/>
    </row>
    <row r="282" spans="11:11">
      <c r="K282" s="268"/>
    </row>
    <row r="283" spans="11:11">
      <c r="K283" s="268"/>
    </row>
    <row r="284" spans="11:11">
      <c r="K284" s="268"/>
    </row>
    <row r="285" spans="11:11">
      <c r="K285" s="268"/>
    </row>
    <row r="286" spans="11:11">
      <c r="K286" s="268"/>
    </row>
    <row r="287" spans="11:11">
      <c r="K287" s="268"/>
    </row>
    <row r="288" spans="11:11">
      <c r="K288" s="26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D26F-D82C-44E3-8372-45A4EC54A9A1}">
  <dimension ref="A1"/>
  <sheetViews>
    <sheetView workbookViewId="0">
      <selection activeCell="A2" sqref="A2"/>
    </sheetView>
  </sheetViews>
  <sheetFormatPr baseColWidth="10"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9525CB560C19438657674D7FB6F893" ma:contentTypeVersion="14" ma:contentTypeDescription="Crear nuevo documento." ma:contentTypeScope="" ma:versionID="c15716d8b6810fbd6c3a55e5e62001c2">
  <xsd:schema xmlns:xsd="http://www.w3.org/2001/XMLSchema" xmlns:xs="http://www.w3.org/2001/XMLSchema" xmlns:p="http://schemas.microsoft.com/office/2006/metadata/properties" xmlns:ns2="1dcacb67-7ac7-4b9d-8b4b-f74ac8c8ce81" xmlns:ns3="643c0748-d7aa-4121-a882-0896f0ffabb0" targetNamespace="http://schemas.microsoft.com/office/2006/metadata/properties" ma:root="true" ma:fieldsID="a33bd46990104259991cea7e2c906eb8" ns2:_="" ns3:_="">
    <xsd:import namespace="1dcacb67-7ac7-4b9d-8b4b-f74ac8c8ce81"/>
    <xsd:import namespace="643c0748-d7aa-4121-a882-0896f0ffabb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cacb67-7ac7-4b9d-8b4b-f74ac8c8ce8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ac456a96-54b7-407b-bacc-e68e14ae66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c0748-d7aa-4121-a882-0896f0ffabb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c472af8-7533-4ad2-a633-2c0e52e1a9b9}" ma:internalName="TaxCatchAll" ma:showField="CatchAllData" ma:web="643c0748-d7aa-4121-a882-0896f0ffa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3c0748-d7aa-4121-a882-0896f0ffabb0" xsi:nil="true"/>
    <lcf76f155ced4ddcb4097134ff3c332f xmlns="1dcacb67-7ac7-4b9d-8b4b-f74ac8c8ce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E24EA4-3D3C-432B-B5B3-1AF451F099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3E85AD-AFD8-4355-A483-AA63C063F5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cacb67-7ac7-4b9d-8b4b-f74ac8c8ce81"/>
    <ds:schemaRef ds:uri="643c0748-d7aa-4121-a882-0896f0ffa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C85C59-7BE6-4455-8F34-AA1DAAAC81F8}">
  <ds:schemaRefs>
    <ds:schemaRef ds:uri="http://schemas.openxmlformats.org/package/2006/metadata/core-properties"/>
    <ds:schemaRef ds:uri="http://www.w3.org/XML/1998/namespace"/>
    <ds:schemaRef ds:uri="http://purl.org/dc/elements/1.1/"/>
    <ds:schemaRef ds:uri="1dcacb67-7ac7-4b9d-8b4b-f74ac8c8ce81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643c0748-d7aa-4121-a882-0896f0ffabb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CUENTAS</vt:lpstr>
      <vt:lpstr>Hoja1</vt:lpstr>
      <vt:lpstr>Hoja2</vt:lpstr>
      <vt:lpstr>CANCELACION</vt:lpstr>
      <vt:lpstr>ACL</vt:lpstr>
      <vt:lpstr>VARIOS</vt:lpstr>
      <vt:lpstr>TRANSF.</vt:lpstr>
      <vt:lpstr>CALCULO DETRACC</vt:lpstr>
      <vt:lpstr>REMUNERACIONES </vt:lpstr>
      <vt:lpstr>Hoja3</vt:lpstr>
    </vt:vector>
  </TitlesOfParts>
  <Manager/>
  <Company>Luffi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CONTA2</dc:creator>
  <cp:keywords/>
  <dc:description/>
  <cp:lastModifiedBy>RRHH A Y A</cp:lastModifiedBy>
  <cp:revision/>
  <dcterms:created xsi:type="dcterms:W3CDTF">2020-08-17T15:43:46Z</dcterms:created>
  <dcterms:modified xsi:type="dcterms:W3CDTF">2026-06-03T20:26:09Z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0x010100159525CB560C19438657674D7FB6F893</vt:lpwstr>
  </property>
  <property fmtid="{D5CDD505-2E9C-101B-9397-08002B2CF9AE}" pid="3" name="MediaServiceImageTags">
    <vt:lpwstr/>
  </property>
</Properties>
</file>